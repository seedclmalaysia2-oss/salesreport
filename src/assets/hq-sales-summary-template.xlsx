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monthly sales" state="visible" r:id="rId4"/>
    <sheet sheetId="4" name="Sheet2" state="visible" r:id="rId5"/>
    <sheet sheetId="3" name="Sheet1" state="visible" r:id="rId6"/>
  </sheets>
  <definedNames>
    <definedName name="_xlnm.Print_Area" localSheetId="0">'monthly sales'!$A4:$N77</definedName>
  </definedNames>
  <calcPr calcId="171027"/>
</workbook>
</file>

<file path=xl/sharedStrings.xml><?xml version="1.0" encoding="utf-8"?>
<sst xmlns="http://schemas.openxmlformats.org/spreadsheetml/2006/main" count="146" uniqueCount="72">
  <si>
    <t>SEED MALAYSIA JAN - JAN ~DEC 2026 SALES REPORT</t>
  </si>
  <si>
    <t>SALES QUANTITY</t>
  </si>
  <si>
    <t>Product / Month</t>
  </si>
  <si>
    <t>JAN</t>
  </si>
  <si>
    <t>FEB</t>
  </si>
  <si>
    <t>MAR</t>
  </si>
  <si>
    <t>APR</t>
  </si>
  <si>
    <t xml:space="preserve">MAY </t>
  </si>
  <si>
    <t>JUN</t>
  </si>
  <si>
    <t>JUL</t>
  </si>
  <si>
    <t>AUG</t>
  </si>
  <si>
    <t>SEPT</t>
  </si>
  <si>
    <t>OCT</t>
  </si>
  <si>
    <t>NOV</t>
  </si>
  <si>
    <t>DEC</t>
  </si>
  <si>
    <t>TOTAL</t>
  </si>
  <si>
    <t>TARGET</t>
  </si>
  <si>
    <t>BALANCE</t>
  </si>
  <si>
    <t>ACC%</t>
  </si>
  <si>
    <t xml:space="preserve"> 1 DAY PURE</t>
  </si>
  <si>
    <t xml:space="preserve"> 1 DAY PURE SILFA</t>
  </si>
  <si>
    <t>1 DAY PURE ASTIGMATISM</t>
  </si>
  <si>
    <t>1 DAY MULSTISTAGE</t>
  </si>
  <si>
    <t>1 DAYPURE EDOF</t>
  </si>
  <si>
    <t>1 DAY VIEW SUPPORT</t>
  </si>
  <si>
    <t>2 WEEK PURE MULTISTAGE</t>
  </si>
  <si>
    <t>2 WEEK PURE UP TORIC</t>
  </si>
  <si>
    <t>2 WEEK PURE UP</t>
  </si>
  <si>
    <t>EYE COFFRET-M</t>
  </si>
  <si>
    <t>EYE COFFRET-M 10 TORIC</t>
  </si>
  <si>
    <t>EYE COFFRET-M 30 TORIC</t>
  </si>
  <si>
    <t>MONTHLY FINE PLUS</t>
  </si>
  <si>
    <t>MONTHLY PURE3</t>
  </si>
  <si>
    <t>MONTHLY PURE6</t>
  </si>
  <si>
    <t>MONTHLY COLOR UV - PEGAVISION</t>
  </si>
  <si>
    <t>MONTHLY COLOR UV - BLUE</t>
  </si>
  <si>
    <t>MONTHLY COLOR UV - ORANGE</t>
  </si>
  <si>
    <t>MONTHLY COLOR UV  II</t>
  </si>
  <si>
    <t>MINASOFT 1DAY COLOR UV</t>
  </si>
  <si>
    <t>MINASOFT CARE UV</t>
  </si>
  <si>
    <t>RGP UV-1 / UV-1 KC</t>
  </si>
  <si>
    <t xml:space="preserve">RGP AS-LUNA/O2 NOAH </t>
  </si>
  <si>
    <t>IRIS LENS</t>
  </si>
  <si>
    <t xml:space="preserve">ULTRA VISION </t>
  </si>
  <si>
    <t>BREATH O CORRECT</t>
  </si>
  <si>
    <t>BREATH O CORRECT (OVERSEAS)</t>
  </si>
  <si>
    <t>Wohlk KE RGP</t>
  </si>
  <si>
    <t>Wohlk Contact Life Sph</t>
  </si>
  <si>
    <t>Wohlk Contact Life Toric</t>
  </si>
  <si>
    <t>DISOP H2O2 SOLUTION</t>
  </si>
  <si>
    <t>DISOP ULTRA EYEDROP</t>
  </si>
  <si>
    <t>DISOP ACUAISS DUAL GEL EYEDROP</t>
  </si>
  <si>
    <t>ACCESSORIES/OTHERS</t>
  </si>
  <si>
    <t>Total</t>
  </si>
  <si>
    <t xml:space="preserve">SALES AMOUNT </t>
  </si>
  <si>
    <t>Product/ Month</t>
  </si>
  <si>
    <t>1 DAY PURE MULSTISTAGE</t>
  </si>
  <si>
    <t xml:space="preserve">EYE COFFRET-M </t>
  </si>
  <si>
    <t>OTHER INCOME</t>
  </si>
  <si>
    <t xml:space="preserve">MONTHLY </t>
  </si>
  <si>
    <t>JULY</t>
  </si>
  <si>
    <t>0CT</t>
  </si>
  <si>
    <t>Jpn Sales Target</t>
  </si>
  <si>
    <t>Msia Sales</t>
  </si>
  <si>
    <t>Balance</t>
  </si>
  <si>
    <t>ACC %</t>
  </si>
  <si>
    <t>Original Sales Target</t>
  </si>
  <si>
    <t>Revised Sales Target</t>
  </si>
  <si>
    <t>Sales Target Variance</t>
  </si>
  <si>
    <t>Sales Target Variance %</t>
  </si>
  <si>
    <t>ACC % vs Original</t>
  </si>
  <si>
    <t>ACC % vs Revised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</si>
</sst>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_);_(* (#,##0.00);_(* &quot;-&quot;??_);_(@_)"/>
    <numFmt numFmtId="166" formatCode="_-* #,##0_-;-* #,##0_-;_-* &quot;-&quot;??_-;_-@_-"/>
    <numFmt numFmtId="167" formatCode="_-* #,##0.00_-;-* #,##0.00_-;_-* &quot;-&quot;??_-;_-@_-"/>
  </numFmts>
  <fonts count="14" x14ac:knownFonts="1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2"/>
      <name val="Calibri"/>
    </font>
    <font>
      <family val="2"/>
      <sz val="26"/>
      <name val="Calibri"/>
    </font>
    <font>
      <b/>
      <charset val="128"/>
      <sz val="11"/>
      <name val="ＭＳ Ｐゴシック"/>
    </font>
    <font>
      <family val="2"/>
      <sz val="11"/>
      <name val="Calibri"/>
    </font>
    <font>
      <b/>
      <color theme="9"/>
      <family val="2"/>
      <sz val="12"/>
      <name val="Calibri"/>
    </font>
    <font>
      <color indexed="8"/>
      <family val="2"/>
      <sz val="12"/>
      <name val="Calibri"/>
    </font>
    <font>
      <b/>
      <color rgb="FFFF0000"/>
      <family val="2"/>
      <sz val="12"/>
      <name val="Calibri"/>
    </font>
    <font>
      <color rgb="FFFF0000"/>
      <family val="2"/>
      <sz val="12"/>
      <name val="Calibri"/>
    </font>
    <font>
      <color theme="9"/>
      <family val="2"/>
      <sz val="12"/>
      <name val="Calibri"/>
    </font>
    <font>
      <color theme="1"/>
      <family val="2"/>
      <scheme val="minor"/>
      <sz val="12"/>
      <name val="Calibri"/>
    </font>
    <font>
      <family val="2"/>
      <scheme val="minor"/>
      <sz val="12"/>
      <name val="Calibri"/>
    </font>
    <font>
      <b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82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medium"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/>
      <diagonal/>
    </border>
    <border>
      <left style="medium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/>
      <top style="medium"/>
      <bottom/>
      <diagonal/>
    </border>
    <border>
      <left style="medium"/>
      <right style="medium"/>
      <top/>
      <bottom style="thin"/>
      <diagonal/>
    </border>
    <border>
      <left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 style="thin"/>
      <bottom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n"/>
      <bottom style="double"/>
      <diagonal/>
    </border>
    <border>
      <left style="medium"/>
      <right style="medium"/>
      <top style="thin"/>
      <bottom style="double"/>
      <diagonal/>
    </border>
    <border>
      <left style="medium"/>
      <right style="thin"/>
      <top style="thin"/>
      <bottom style="double"/>
      <diagonal/>
    </border>
    <border>
      <left/>
      <right style="thin"/>
      <top style="thin"/>
      <bottom style="double"/>
      <diagonal/>
    </border>
    <border>
      <left style="medium"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medium"/>
      <right/>
      <top style="medium"/>
      <bottom style="hair"/>
      <diagonal/>
    </border>
    <border>
      <left style="medium"/>
      <right style="thin">
        <color indexed="64"/>
      </right>
      <top style="medium"/>
      <bottom style="hair"/>
      <diagonal/>
    </border>
    <border>
      <left style="thin">
        <color indexed="64"/>
      </left>
      <right style="thin"/>
      <top style="dashed">
        <color theme="1" tint="0.3499862666707358"/>
      </top>
      <bottom style="dashed">
        <color theme="1" tint="0.3499862666707358"/>
      </bottom>
      <diagonal/>
    </border>
    <border>
      <left style="dashed">
        <color theme="1" tint="0.3499862666707358"/>
      </left>
      <right style="thin">
        <color indexed="64"/>
      </right>
      <top style="dashed">
        <color theme="1" tint="0.3499862666707358"/>
      </top>
      <bottom style="dashed">
        <color theme="1" tint="0.3499862666707358"/>
      </bottom>
      <diagonal/>
    </border>
    <border>
      <left style="thin">
        <color indexed="64"/>
      </left>
      <right style="thin">
        <color indexed="64"/>
      </right>
      <top style="medium"/>
      <bottom style="hair">
        <color indexed="64"/>
      </bottom>
      <diagonal/>
    </border>
    <border>
      <left style="dashed">
        <color theme="1" tint="0.3499862666707358"/>
      </left>
      <right/>
      <top style="medium"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/>
      <right style="thin"/>
      <top/>
      <bottom/>
      <diagonal/>
    </border>
    <border>
      <left/>
      <right style="thin">
        <color indexed="64"/>
      </right>
      <top/>
      <bottom/>
      <diagonal/>
    </border>
    <border>
      <left style="medium"/>
      <right style="medium"/>
      <top style="hair">
        <color indexed="64"/>
      </top>
      <bottom style="thin">
        <color indexed="64"/>
      </bottom>
      <diagonal/>
    </border>
    <border>
      <left/>
      <right/>
      <top style="thin"/>
      <bottom/>
      <diagonal/>
    </border>
    <border>
      <left style="medium"/>
      <right style="medium"/>
      <top/>
      <bottom/>
      <diagonal/>
    </border>
    <border>
      <left style="medium"/>
      <right/>
      <top style="thin"/>
      <bottom style="double"/>
      <diagonal/>
    </border>
    <border>
      <left style="thin">
        <color indexed="64"/>
      </left>
      <right style="thin"/>
      <top style="thin"/>
      <bottom style="double"/>
      <diagonal/>
    </border>
    <border>
      <left style="medium">
        <color indexed="64"/>
      </left>
      <right/>
      <top style="double"/>
      <bottom style="hair">
        <color indexed="64"/>
      </bottom>
      <diagonal/>
    </border>
    <border>
      <left style="thin"/>
      <right style="thin"/>
      <top style="double"/>
      <bottom style="hair">
        <color indexed="64"/>
      </bottom>
      <diagonal/>
    </border>
    <border>
      <left/>
      <right style="thin">
        <color indexed="64"/>
      </right>
      <top style="double"/>
      <bottom style="hair">
        <color indexed="64"/>
      </bottom>
      <diagonal/>
    </border>
    <border>
      <left/>
      <right/>
      <top style="double"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/>
      <top/>
      <bottom style="medium">
        <color indexed="64"/>
      </bottom>
      <diagonal/>
    </border>
    <border>
      <left/>
      <right style="thin"/>
      <top/>
      <bottom style="medium">
        <color indexed="64"/>
      </bottom>
      <diagonal/>
    </border>
    <border>
      <left style="medium"/>
      <right style="medium"/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9" fontId="6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vertical="center"/>
    </xf>
    <xf numFmtId="164" fontId="2" fillId="0" borderId="15" xfId="0" applyNumberFormat="1" applyFont="1" applyBorder="1" applyAlignment="1">
      <alignment horizontal="center" vertical="center"/>
    </xf>
    <xf numFmtId="164" fontId="1" fillId="0" borderId="22" xfId="0" applyNumberFormat="1" applyFont="1" applyBorder="1" applyAlignment="1">
      <alignment vertical="center"/>
    </xf>
    <xf numFmtId="164" fontId="7" fillId="0" borderId="19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164" fontId="1" fillId="2" borderId="33" xfId="0" applyNumberFormat="1" applyFont="1" applyFill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164" fontId="2" fillId="0" borderId="35" xfId="0" applyNumberFormat="1" applyFont="1" applyBorder="1" applyAlignment="1">
      <alignment horizontal="center" vertical="center"/>
    </xf>
    <xf numFmtId="9" fontId="6" fillId="0" borderId="9" xfId="0" applyNumberFormat="1" applyFont="1" applyBorder="1" applyAlignment="1">
      <alignment horizontal="center" vertical="center"/>
    </xf>
    <xf numFmtId="164" fontId="2" fillId="0" borderId="36" xfId="0" applyNumberFormat="1" applyFont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164" fontId="7" fillId="0" borderId="39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1" fillId="2" borderId="41" xfId="0" applyNumberFormat="1" applyFont="1" applyFill="1" applyBorder="1" applyAlignment="1">
      <alignment vertical="center"/>
    </xf>
    <xf numFmtId="164" fontId="1" fillId="0" borderId="41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164" fontId="1" fillId="0" borderId="42" xfId="0" applyNumberFormat="1" applyFont="1" applyBorder="1" applyAlignment="1">
      <alignment vertical="center"/>
    </xf>
    <xf numFmtId="164" fontId="1" fillId="0" borderId="39" xfId="0" applyNumberFormat="1" applyFont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9" fontId="6" fillId="0" borderId="23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vertical="center"/>
    </xf>
    <xf numFmtId="164" fontId="1" fillId="2" borderId="43" xfId="0" applyNumberFormat="1" applyFont="1" applyFill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164" fontId="1" fillId="0" borderId="43" xfId="0" applyNumberFormat="1" applyFont="1" applyBorder="1" applyAlignment="1">
      <alignment vertical="center"/>
    </xf>
    <xf numFmtId="3" fontId="1" fillId="0" borderId="16" xfId="0" applyNumberFormat="1" applyFont="1" applyBorder="1" applyAlignment="1">
      <alignment vertical="center"/>
    </xf>
    <xf numFmtId="164" fontId="1" fillId="0" borderId="44" xfId="0" applyNumberFormat="1" applyFont="1" applyBorder="1" applyAlignment="1">
      <alignment vertical="center"/>
    </xf>
    <xf numFmtId="164" fontId="1" fillId="2" borderId="45" xfId="0" applyNumberFormat="1" applyFont="1" applyFill="1" applyBorder="1" applyAlignment="1">
      <alignment vertical="center"/>
    </xf>
    <xf numFmtId="164" fontId="1" fillId="0" borderId="45" xfId="0" applyNumberFormat="1" applyFont="1" applyBorder="1" applyAlignment="1">
      <alignment vertical="center"/>
    </xf>
    <xf numFmtId="164" fontId="1" fillId="0" borderId="46" xfId="0" applyNumberFormat="1" applyFont="1" applyBorder="1" applyAlignment="1">
      <alignment vertical="center"/>
    </xf>
    <xf numFmtId="165" fontId="1" fillId="0" borderId="22" xfId="0" applyNumberFormat="1" applyFont="1" applyBorder="1" applyAlignment="1">
      <alignment vertical="center"/>
    </xf>
    <xf numFmtId="166" fontId="1" fillId="0" borderId="22" xfId="0" applyNumberFormat="1" applyFont="1" applyBorder="1" applyAlignment="1">
      <alignment vertical="center"/>
    </xf>
    <xf numFmtId="166" fontId="1" fillId="0" borderId="46" xfId="0" applyNumberFormat="1" applyFont="1" applyBorder="1" applyAlignment="1">
      <alignment vertical="center"/>
    </xf>
    <xf numFmtId="164" fontId="1" fillId="0" borderId="19" xfId="0" applyNumberFormat="1" applyFont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9" fontId="6" fillId="0" borderId="30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vertical="center"/>
    </xf>
    <xf numFmtId="165" fontId="1" fillId="0" borderId="46" xfId="0" applyNumberFormat="1" applyFont="1" applyBorder="1" applyAlignment="1">
      <alignment vertical="center"/>
    </xf>
    <xf numFmtId="4" fontId="1" fillId="0" borderId="16" xfId="0" applyNumberFormat="1" applyFont="1" applyBorder="1" applyAlignment="1">
      <alignment vertical="center"/>
    </xf>
    <xf numFmtId="164" fontId="1" fillId="0" borderId="27" xfId="0" applyNumberFormat="1" applyFont="1" applyBorder="1" applyAlignment="1">
      <alignment vertical="center"/>
    </xf>
    <xf numFmtId="164" fontId="1" fillId="2" borderId="27" xfId="0" applyNumberFormat="1" applyFont="1" applyFill="1" applyBorder="1" applyAlignment="1">
      <alignment vertical="center"/>
    </xf>
    <xf numFmtId="164" fontId="1" fillId="0" borderId="29" xfId="0" applyNumberFormat="1" applyFont="1" applyBorder="1" applyAlignment="1">
      <alignment vertical="center"/>
    </xf>
    <xf numFmtId="164" fontId="1" fillId="0" borderId="47" xfId="0" applyNumberFormat="1" applyFont="1" applyBorder="1" applyAlignment="1">
      <alignment vertical="center"/>
    </xf>
    <xf numFmtId="164" fontId="1" fillId="0" borderId="48" xfId="0" applyNumberFormat="1" applyFont="1" applyBorder="1" applyAlignment="1">
      <alignment vertical="center"/>
    </xf>
    <xf numFmtId="165" fontId="1" fillId="0" borderId="27" xfId="0" applyNumberFormat="1" applyFont="1" applyBorder="1" applyAlignment="1">
      <alignment vertical="center"/>
    </xf>
    <xf numFmtId="164" fontId="1" fillId="2" borderId="22" xfId="0" applyNumberFormat="1" applyFont="1" applyFill="1" applyBorder="1" applyAlignment="1">
      <alignment vertical="center"/>
    </xf>
    <xf numFmtId="164" fontId="1" fillId="2" borderId="47" xfId="0" applyNumberFormat="1" applyFont="1" applyFill="1" applyBorder="1" applyAlignment="1">
      <alignment vertical="center"/>
    </xf>
    <xf numFmtId="164" fontId="1" fillId="0" borderId="49" xfId="0" applyNumberFormat="1" applyFont="1" applyBorder="1" applyAlignment="1">
      <alignment vertical="center"/>
    </xf>
    <xf numFmtId="164" fontId="1" fillId="0" borderId="33" xfId="0" applyNumberFormat="1" applyFont="1" applyBorder="1" applyAlignment="1">
      <alignment vertical="center"/>
    </xf>
    <xf numFmtId="165" fontId="1" fillId="0" borderId="33" xfId="0" applyNumberFormat="1" applyFont="1" applyBorder="1" applyAlignment="1">
      <alignment vertical="center"/>
    </xf>
    <xf numFmtId="164" fontId="1" fillId="2" borderId="50" xfId="0" applyNumberFormat="1" applyFont="1" applyFill="1" applyBorder="1" applyAlignment="1">
      <alignment vertical="center"/>
    </xf>
    <xf numFmtId="164" fontId="1" fillId="0" borderId="50" xfId="0" applyNumberFormat="1" applyFont="1" applyBorder="1" applyAlignment="1">
      <alignment vertical="center"/>
    </xf>
    <xf numFmtId="3" fontId="1" fillId="0" borderId="33" xfId="0" applyNumberFormat="1" applyFont="1" applyBorder="1" applyAlignment="1">
      <alignment vertical="center"/>
    </xf>
    <xf numFmtId="164" fontId="1" fillId="0" borderId="51" xfId="0" applyNumberFormat="1" applyFont="1" applyBorder="1" applyAlignment="1">
      <alignment vertical="center"/>
    </xf>
    <xf numFmtId="164" fontId="2" fillId="0" borderId="33" xfId="0" applyNumberFormat="1" applyFont="1" applyBorder="1" applyAlignment="1">
      <alignment horizontal="center" vertical="center"/>
    </xf>
    <xf numFmtId="164" fontId="8" fillId="0" borderId="33" xfId="0" applyNumberFormat="1" applyFont="1" applyBorder="1" applyAlignment="1">
      <alignment horizontal="center" vertical="center"/>
    </xf>
    <xf numFmtId="9" fontId="6" fillId="0" borderId="34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2" fillId="0" borderId="52" xfId="0" applyNumberFormat="1" applyFont="1" applyBorder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1" fillId="0" borderId="12" xfId="0" applyNumberFormat="1" applyFont="1" applyBorder="1" applyAlignment="1">
      <alignment vertical="center"/>
    </xf>
    <xf numFmtId="166" fontId="12" fillId="0" borderId="12" xfId="0" applyNumberFormat="1" applyFont="1" applyBorder="1" applyAlignment="1">
      <alignment vertical="center"/>
    </xf>
    <xf numFmtId="166" fontId="11" fillId="0" borderId="13" xfId="0" applyNumberFormat="1" applyFont="1" applyBorder="1" applyAlignment="1">
      <alignment vertical="center"/>
    </xf>
    <xf numFmtId="164" fontId="1" fillId="0" borderId="40" xfId="0" applyNumberFormat="1" applyFont="1" applyBorder="1" applyAlignment="1">
      <alignment horizontal="center" vertical="center"/>
    </xf>
    <xf numFmtId="164" fontId="1" fillId="0" borderId="53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164" fontId="1" fillId="0" borderId="55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10" fontId="1" fillId="0" borderId="32" xfId="0" applyNumberFormat="1" applyFont="1" applyBorder="1" applyAlignment="1">
      <alignment vertical="center"/>
    </xf>
    <xf numFmtId="10" fontId="1" fillId="0" borderId="49" xfId="0" applyNumberFormat="1" applyFont="1" applyBorder="1" applyAlignment="1">
      <alignment vertical="center"/>
    </xf>
    <xf numFmtId="9" fontId="1" fillId="0" borderId="0" xfId="0" applyNumberFormat="1" applyFont="1" applyAlignment="1">
      <alignment horizontal="center" vertical="center"/>
    </xf>
    <xf numFmtId="164" fontId="1" fillId="0" borderId="56" xfId="0" applyNumberFormat="1" applyFont="1" applyBorder="1" applyAlignment="1">
      <alignment horizontal="center" vertical="center"/>
    </xf>
    <xf numFmtId="164" fontId="2" fillId="0" borderId="56" xfId="0" applyNumberFormat="1" applyFont="1" applyBorder="1" applyAlignment="1">
      <alignment horizontal="center" vertical="center"/>
    </xf>
    <xf numFmtId="164" fontId="2" fillId="0" borderId="57" xfId="0" applyNumberFormat="1" applyFont="1" applyBorder="1" applyAlignment="1">
      <alignment horizontal="center" vertical="center"/>
    </xf>
    <xf numFmtId="164" fontId="2" fillId="3" borderId="58" xfId="0" applyNumberFormat="1" applyFont="1" applyFill="1" applyBorder="1" applyAlignment="1">
      <alignment horizontal="center" vertical="center"/>
    </xf>
    <xf numFmtId="166" fontId="12" fillId="3" borderId="59" xfId="0" applyNumberFormat="1" applyFont="1" applyFill="1" applyBorder="1" applyAlignment="1">
      <alignment horizontal="left" vertical="center" readingOrder="1"/>
    </xf>
    <xf numFmtId="166" fontId="12" fillId="3" borderId="60" xfId="0" applyNumberFormat="1" applyFont="1" applyFill="1" applyBorder="1" applyAlignment="1">
      <alignment horizontal="left" vertical="center" readingOrder="1"/>
    </xf>
    <xf numFmtId="166" fontId="12" fillId="3" borderId="61" xfId="0" applyNumberFormat="1" applyFont="1" applyFill="1" applyBorder="1" applyAlignment="1">
      <alignment horizontal="left" vertical="center" readingOrder="1"/>
    </xf>
    <xf numFmtId="166" fontId="12" fillId="3" borderId="62" xfId="0" applyNumberFormat="1" applyFont="1" applyFill="1" applyBorder="1" applyAlignment="1">
      <alignment horizontal="left" vertical="center" readingOrder="1"/>
    </xf>
    <xf numFmtId="166" fontId="12" fillId="3" borderId="63" xfId="0" applyNumberFormat="1" applyFont="1" applyFill="1" applyBorder="1" applyAlignment="1">
      <alignment horizontal="left" vertical="center" readingOrder="1"/>
    </xf>
    <xf numFmtId="164" fontId="1" fillId="3" borderId="64" xfId="0" applyNumberFormat="1" applyFont="1" applyFill="1" applyBorder="1" applyAlignment="1">
      <alignment horizontal="center" vertical="center"/>
    </xf>
    <xf numFmtId="164" fontId="2" fillId="3" borderId="39" xfId="0" applyNumberFormat="1" applyFont="1" applyFill="1" applyBorder="1" applyAlignment="1">
      <alignment horizontal="center" vertical="center"/>
    </xf>
    <xf numFmtId="166" fontId="12" fillId="3" borderId="65" xfId="0" applyNumberFormat="1" applyFont="1" applyFill="1" applyBorder="1" applyAlignment="1">
      <alignment horizontal="left" vertical="center" readingOrder="1"/>
    </xf>
    <xf numFmtId="166" fontId="12" fillId="3" borderId="66" xfId="0" applyNumberFormat="1" applyFont="1" applyFill="1" applyBorder="1" applyAlignment="1">
      <alignment horizontal="left" vertical="center" readingOrder="1"/>
    </xf>
    <xf numFmtId="166" fontId="12" fillId="3" borderId="67" xfId="0" applyNumberFormat="1" applyFont="1" applyFill="1" applyBorder="1" applyAlignment="1">
      <alignment horizontal="left" vertical="center" readingOrder="1"/>
    </xf>
    <xf numFmtId="166" fontId="12" fillId="3" borderId="0" xfId="0" applyNumberFormat="1" applyFont="1" applyFill="1" applyAlignment="1">
      <alignment horizontal="left" vertical="center" readingOrder="1"/>
    </xf>
    <xf numFmtId="164" fontId="1" fillId="3" borderId="68" xfId="0" applyNumberFormat="1" applyFont="1" applyFill="1" applyBorder="1" applyAlignment="1">
      <alignment horizontal="center" vertical="center"/>
    </xf>
    <xf numFmtId="164" fontId="2" fillId="4" borderId="19" xfId="0" applyNumberFormat="1" applyFont="1" applyFill="1" applyBorder="1" applyAlignment="1">
      <alignment horizontal="center" vertical="center"/>
    </xf>
    <xf numFmtId="166" fontId="12" fillId="4" borderId="25" xfId="0" applyNumberFormat="1" applyFont="1" applyFill="1" applyBorder="1" applyAlignment="1">
      <alignment horizontal="left" vertical="center" readingOrder="1"/>
    </xf>
    <xf numFmtId="166" fontId="12" fillId="4" borderId="29" xfId="0" applyNumberFormat="1" applyFont="1" applyFill="1" applyBorder="1" applyAlignment="1">
      <alignment horizontal="left" vertical="center" readingOrder="1"/>
    </xf>
    <xf numFmtId="166" fontId="12" fillId="4" borderId="27" xfId="0" applyNumberFormat="1" applyFont="1" applyFill="1" applyBorder="1" applyAlignment="1">
      <alignment horizontal="left" vertical="center" readingOrder="1"/>
    </xf>
    <xf numFmtId="166" fontId="12" fillId="4" borderId="69" xfId="0" applyNumberFormat="1" applyFont="1" applyFill="1" applyBorder="1" applyAlignment="1">
      <alignment horizontal="left" vertical="center" readingOrder="1"/>
    </xf>
    <xf numFmtId="164" fontId="1" fillId="4" borderId="70" xfId="0" applyNumberFormat="1" applyFont="1" applyFill="1" applyBorder="1" applyAlignment="1">
      <alignment horizontal="center" vertical="center"/>
    </xf>
    <xf numFmtId="164" fontId="2" fillId="4" borderId="65" xfId="0" applyNumberFormat="1" applyFont="1" applyFill="1" applyBorder="1" applyAlignment="1">
      <alignment horizontal="center" vertical="center"/>
    </xf>
    <xf numFmtId="10" fontId="12" fillId="4" borderId="25" xfId="0" applyNumberFormat="1" applyFont="1" applyFill="1" applyBorder="1" applyAlignment="1">
      <alignment vertical="center" readingOrder="1"/>
    </xf>
    <xf numFmtId="10" fontId="12" fillId="4" borderId="29" xfId="0" applyNumberFormat="1" applyFont="1" applyFill="1" applyBorder="1" applyAlignment="1">
      <alignment vertical="center" readingOrder="1"/>
    </xf>
    <xf numFmtId="10" fontId="12" fillId="4" borderId="27" xfId="0" applyNumberFormat="1" applyFont="1" applyFill="1" applyBorder="1" applyAlignment="1">
      <alignment vertical="center" readingOrder="1"/>
    </xf>
    <xf numFmtId="10" fontId="12" fillId="4" borderId="69" xfId="0" applyNumberFormat="1" applyFont="1" applyFill="1" applyBorder="1" applyAlignment="1">
      <alignment vertical="center" readingOrder="1"/>
    </xf>
    <xf numFmtId="10" fontId="12" fillId="4" borderId="26" xfId="0" applyNumberFormat="1" applyFont="1" applyFill="1" applyBorder="1" applyAlignment="1">
      <alignment vertical="center" readingOrder="1"/>
    </xf>
    <xf numFmtId="164" fontId="2" fillId="2" borderId="71" xfId="0" applyNumberFormat="1" applyFont="1" applyFill="1" applyBorder="1" applyAlignment="1">
      <alignment horizontal="center" vertical="center"/>
    </xf>
    <xf numFmtId="164" fontId="2" fillId="2" borderId="72" xfId="0" applyNumberFormat="1" applyFont="1" applyFill="1" applyBorder="1" applyAlignment="1">
      <alignment horizontal="center" vertical="center"/>
    </xf>
    <xf numFmtId="164" fontId="2" fillId="2" borderId="52" xfId="0" applyNumberFormat="1" applyFont="1" applyFill="1" applyBorder="1" applyAlignment="1">
      <alignment horizontal="center" vertical="center"/>
    </xf>
    <xf numFmtId="164" fontId="2" fillId="2" borderId="53" xfId="0" applyNumberFormat="1" applyFont="1" applyFill="1" applyBorder="1" applyAlignment="1">
      <alignment horizontal="center" vertical="center"/>
    </xf>
    <xf numFmtId="0" fontId="13" fillId="3" borderId="73" xfId="0" applyFont="1" applyFill="1" applyBorder="1" applyAlignment="1">
      <alignment horizontal="center" vertical="center"/>
    </xf>
    <xf numFmtId="10" fontId="1" fillId="3" borderId="73" xfId="0" applyNumberFormat="1" applyFont="1" applyFill="1" applyBorder="1" applyAlignment="1">
      <alignment vertical="center"/>
    </xf>
    <xf numFmtId="10" fontId="1" fillId="3" borderId="74" xfId="0" applyNumberFormat="1" applyFont="1" applyFill="1" applyBorder="1" applyAlignment="1">
      <alignment vertical="center"/>
    </xf>
    <xf numFmtId="10" fontId="1" fillId="3" borderId="75" xfId="0" applyNumberFormat="1" applyFont="1" applyFill="1" applyBorder="1" applyAlignment="1">
      <alignment vertical="center"/>
    </xf>
    <xf numFmtId="10" fontId="1" fillId="3" borderId="76" xfId="0" applyNumberFormat="1" applyFont="1" applyFill="1" applyBorder="1" applyAlignment="1">
      <alignment vertical="center"/>
    </xf>
    <xf numFmtId="10" fontId="1" fillId="3" borderId="77" xfId="0" applyNumberFormat="1" applyFont="1" applyFill="1" applyBorder="1" applyAlignment="1">
      <alignment vertical="center"/>
    </xf>
    <xf numFmtId="0" fontId="13" fillId="3" borderId="78" xfId="0" applyFont="1" applyFill="1" applyBorder="1" applyAlignment="1">
      <alignment horizontal="center" vertical="center"/>
    </xf>
    <xf numFmtId="10" fontId="1" fillId="3" borderId="78" xfId="0" applyNumberFormat="1" applyFont="1" applyFill="1" applyBorder="1" applyAlignment="1">
      <alignment vertical="center"/>
    </xf>
    <xf numFmtId="10" fontId="1" fillId="3" borderId="79" xfId="0" applyNumberFormat="1" applyFont="1" applyFill="1" applyBorder="1" applyAlignment="1">
      <alignment vertical="center"/>
    </xf>
    <xf numFmtId="10" fontId="1" fillId="3" borderId="80" xfId="0" applyNumberFormat="1" applyFont="1" applyFill="1" applyBorder="1" applyAlignment="1">
      <alignment vertical="center"/>
    </xf>
    <xf numFmtId="10" fontId="1" fillId="3" borderId="1" xfId="0" applyNumberFormat="1" applyFont="1" applyFill="1" applyBorder="1" applyAlignment="1">
      <alignment vertical="center"/>
    </xf>
    <xf numFmtId="10" fontId="1" fillId="3" borderId="81" xfId="0" applyNumberFormat="1" applyFont="1" applyFill="1" applyBorder="1" applyAlignment="1">
      <alignment vertical="center"/>
    </xf>
  </cellXfs>
  <cellStyles count="1">
    <cellStyle name="Normal" xfId="0" builtinId="0"/>
  </cellStyles>
  <dxfs count="9">
    <dxf>
      <font>
        <color rgb="FF9C0006"/>
      </font>
    </dxf>
    <dxf>
      <font>
        <color rgb="FF9C0006"/>
      </font>
    </dxf>
    <dxf>
      <font>
        <color rgb="FF0000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0"/>
  <sheetViews>
    <sheetView workbookViewId="0" showGridLines="0" zoomScale="70" zoomScaleNormal="70">
      <pane xSplit="1" ySplit="4" topLeftCell="B50" activePane="bottomRight" state="frozen"/>
      <selection pane="bottomRight" activeCell="A65" sqref="A65"/>
    </sheetView>
  </sheetViews>
  <sheetFormatPr defaultRowHeight="24.75" outlineLevelRow="0" outlineLevelCol="0" x14ac:dyDescent="0" defaultColWidth="13.6640625" customHeight="1"/>
  <cols>
    <col min="1" max="1" width="46.33203125" style="1" customWidth="1"/>
    <col min="2" max="6" width="18.6640625" style="1" customWidth="1"/>
    <col min="7" max="7" width="18.6640625" style="2" customWidth="1"/>
    <col min="8" max="13" width="18.6640625" style="1" customWidth="1"/>
    <col min="14" max="14" width="21.109375" style="1" customWidth="1"/>
    <col min="15" max="15" width="18.33203125" style="3" hidden="1" customWidth="1"/>
    <col min="16" max="16" width="19.44140625" style="3" hidden="1" customWidth="1"/>
    <col min="17" max="17" width="14.109375" style="3" hidden="1" customWidth="1"/>
    <col min="18" max="24" width="22.88671875" style="3" customWidth="1"/>
    <col min="25" max="25" width="14.109375" style="1" customWidth="1"/>
    <col min="26" max="26" width="20.33203125" style="3" customWidth="1"/>
    <col min="27" max="27" width="17.6640625" style="3" customWidth="1"/>
    <col min="28" max="16384" width="13.6640625" style="3" customWidth="1"/>
  </cols>
  <sheetData>
    <row r="1" ht="24.75" customHeight="1" spans="1:17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ht="24.75" customHeight="1" spans="1:25" x14ac:dyDescent="0.25">
      <c r="A3" s="3"/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P3" s="1"/>
      <c r="Q3" s="1"/>
      <c r="R3" s="6"/>
      <c r="S3" s="6"/>
      <c r="T3" s="6"/>
      <c r="U3" s="6"/>
      <c r="V3" s="6"/>
      <c r="W3" s="6"/>
      <c r="X3" s="7"/>
      <c r="Y3" s="8"/>
    </row>
    <row r="4" ht="24.75" customHeight="1" spans="1:25" x14ac:dyDescent="0.25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2" t="s">
        <v>8</v>
      </c>
      <c r="H4" s="13" t="s">
        <v>9</v>
      </c>
      <c r="I4" s="13" t="s">
        <v>10</v>
      </c>
      <c r="J4" s="13" t="s">
        <v>11</v>
      </c>
      <c r="K4" s="13" t="s">
        <v>12</v>
      </c>
      <c r="L4" s="13" t="s">
        <v>13</v>
      </c>
      <c r="M4" s="13" t="s">
        <v>14</v>
      </c>
      <c r="N4" s="14" t="s">
        <v>15</v>
      </c>
      <c r="O4" s="15" t="s">
        <v>16</v>
      </c>
      <c r="P4" s="16" t="s">
        <v>17</v>
      </c>
      <c r="Q4" s="17" t="s">
        <v>18</v>
      </c>
      <c r="Y4" s="3"/>
    </row>
    <row r="5" ht="24.75" customHeight="1" spans="1:25" x14ac:dyDescent="0.25">
      <c r="A5" s="18" t="s">
        <v>19</v>
      </c>
      <c r="B5" s="19">
        <v>1060</v>
      </c>
      <c r="C5" s="20">
        <v>835</v>
      </c>
      <c r="D5" s="20">
        <f>968+172</f>
      </c>
      <c r="E5" s="20">
        <v>1105</v>
      </c>
      <c r="F5" s="20">
        <f>965+172</f>
      </c>
      <c r="G5" s="21">
        <f>615+164</f>
      </c>
      <c r="H5" s="20"/>
      <c r="I5" s="20"/>
      <c r="J5" s="20"/>
      <c r="K5" s="20"/>
      <c r="L5" s="20"/>
      <c r="M5" s="22"/>
      <c r="N5" s="23">
        <f>SUM(B5:M5)</f>
      </c>
      <c r="O5" s="24"/>
      <c r="P5" s="25">
        <f>N5-O5</f>
      </c>
      <c r="Q5" s="26">
        <f>N5/O5</f>
      </c>
      <c r="Y5" s="3"/>
    </row>
    <row r="6" ht="24.75" customHeight="1" spans="1:25" x14ac:dyDescent="0.25">
      <c r="A6" s="18" t="s">
        <v>20</v>
      </c>
      <c r="B6" s="27">
        <v>143</v>
      </c>
      <c r="C6" s="28">
        <v>161</v>
      </c>
      <c r="D6" s="28">
        <v>169</v>
      </c>
      <c r="E6" s="28">
        <f>70+62+3</f>
      </c>
      <c r="F6" s="28">
        <v>248</v>
      </c>
      <c r="G6" s="29">
        <v>212</v>
      </c>
      <c r="H6" s="28"/>
      <c r="I6" s="28"/>
      <c r="J6" s="28"/>
      <c r="K6" s="28"/>
      <c r="L6" s="28"/>
      <c r="M6" s="30"/>
      <c r="N6" s="31">
        <f>SUM(B6:M6)</f>
      </c>
      <c r="O6" s="24"/>
      <c r="P6" s="25">
        <f>N6-O6</f>
      </c>
      <c r="Q6" s="26">
        <f>N6/O6</f>
      </c>
      <c r="Y6" s="3"/>
    </row>
    <row r="7" ht="24.75" customHeight="1" spans="1:25" x14ac:dyDescent="0.25">
      <c r="A7" s="32" t="s">
        <v>21</v>
      </c>
      <c r="B7" s="33">
        <f>431+134</f>
      </c>
      <c r="C7" s="34">
        <v>512</v>
      </c>
      <c r="D7" s="34">
        <f>420+123</f>
      </c>
      <c r="E7" s="34">
        <f>429+2+132</f>
      </c>
      <c r="F7" s="34">
        <f>393+120</f>
      </c>
      <c r="G7" s="35">
        <f>387+125</f>
      </c>
      <c r="H7" s="34"/>
      <c r="I7" s="34"/>
      <c r="J7" s="34"/>
      <c r="K7" s="34"/>
      <c r="L7" s="34"/>
      <c r="M7" s="36"/>
      <c r="N7" s="31">
        <f>SUM(B7:M7)</f>
      </c>
      <c r="O7" s="37"/>
      <c r="P7" s="25">
        <f>N7-O7</f>
      </c>
      <c r="Q7" s="26">
        <f>N7/O7</f>
      </c>
      <c r="Y7" s="3"/>
    </row>
    <row r="8" ht="24.75" customHeight="1" spans="1:25" x14ac:dyDescent="0.25">
      <c r="A8" s="32" t="s">
        <v>22</v>
      </c>
      <c r="B8" s="33">
        <v>22</v>
      </c>
      <c r="C8" s="34">
        <v>30</v>
      </c>
      <c r="D8" s="34">
        <v>42</v>
      </c>
      <c r="E8" s="34">
        <v>32</v>
      </c>
      <c r="F8" s="34">
        <v>34</v>
      </c>
      <c r="G8" s="35">
        <v>41</v>
      </c>
      <c r="H8" s="34"/>
      <c r="I8" s="34"/>
      <c r="J8" s="34"/>
      <c r="K8" s="34"/>
      <c r="L8" s="34"/>
      <c r="M8" s="36"/>
      <c r="N8" s="31">
        <f>SUM(B8:M8)</f>
      </c>
      <c r="O8" s="38"/>
      <c r="P8" s="39">
        <f>N8-O8</f>
      </c>
      <c r="Q8" s="26">
        <f>N8/O8</f>
      </c>
      <c r="Y8" s="3"/>
    </row>
    <row r="9" ht="24.75" customHeight="1" spans="1:25" x14ac:dyDescent="0.25">
      <c r="A9" s="32" t="s">
        <v>23</v>
      </c>
      <c r="B9" s="33">
        <f>602+55</f>
      </c>
      <c r="C9" s="34">
        <v>304</v>
      </c>
      <c r="D9" s="34">
        <v>253</v>
      </c>
      <c r="E9" s="34">
        <f>198+24+59</f>
      </c>
      <c r="F9" s="34">
        <f>367+90</f>
      </c>
      <c r="G9" s="35">
        <f>156+51</f>
      </c>
      <c r="H9" s="34"/>
      <c r="I9" s="40"/>
      <c r="J9" s="34"/>
      <c r="K9" s="34"/>
      <c r="L9" s="34"/>
      <c r="M9" s="36"/>
      <c r="N9" s="31">
        <f>SUM(B9:M9)</f>
      </c>
      <c r="O9" s="38"/>
      <c r="P9" s="39">
        <f>N9-O9</f>
      </c>
      <c r="Q9" s="26">
        <f>N9/O9</f>
      </c>
      <c r="Y9" s="3"/>
    </row>
    <row r="10" ht="24.75" customHeight="1" spans="1:25" x14ac:dyDescent="0.25">
      <c r="A10" s="41" t="s">
        <v>24</v>
      </c>
      <c r="B10" s="33">
        <f>11+11</f>
      </c>
      <c r="C10" s="34">
        <v>7</v>
      </c>
      <c r="D10" s="34">
        <f>9+5</f>
      </c>
      <c r="E10" s="34">
        <f>2-4</f>
      </c>
      <c r="F10" s="34">
        <v>0</v>
      </c>
      <c r="G10" s="35">
        <v>12</v>
      </c>
      <c r="H10" s="34"/>
      <c r="I10" s="34"/>
      <c r="J10" s="34"/>
      <c r="K10" s="34"/>
      <c r="L10" s="34"/>
      <c r="M10" s="36"/>
      <c r="N10" s="31">
        <f>SUM(B10:M10)</f>
      </c>
      <c r="O10" s="42"/>
      <c r="P10" s="39">
        <f>N10-O10</f>
      </c>
      <c r="Q10" s="26">
        <f>N10/O10</f>
      </c>
      <c r="Y10" s="3"/>
    </row>
    <row r="11" ht="24.75" customHeight="1" spans="1:25" x14ac:dyDescent="0.25">
      <c r="A11" s="32" t="s">
        <v>25</v>
      </c>
      <c r="B11" s="33">
        <f>1+14+6</f>
      </c>
      <c r="C11" s="34">
        <v>6</v>
      </c>
      <c r="D11" s="34">
        <v>12</v>
      </c>
      <c r="E11" s="34">
        <v>18</v>
      </c>
      <c r="F11" s="40">
        <v>16</v>
      </c>
      <c r="G11" s="35">
        <v>-2</v>
      </c>
      <c r="H11" s="34"/>
      <c r="I11" s="34"/>
      <c r="J11" s="34"/>
      <c r="K11" s="34"/>
      <c r="L11" s="34"/>
      <c r="M11" s="36"/>
      <c r="N11" s="31">
        <f>SUM(B11:M11)</f>
      </c>
      <c r="O11" s="37"/>
      <c r="P11" s="25">
        <f>N11-O11</f>
      </c>
      <c r="Q11" s="26">
        <f>N11/O11</f>
      </c>
      <c r="Y11" s="3"/>
    </row>
    <row r="12" ht="24.75" customHeight="1" spans="1:25" x14ac:dyDescent="0.25">
      <c r="A12" s="32" t="s">
        <v>26</v>
      </c>
      <c r="B12" s="33">
        <f>16+4</f>
      </c>
      <c r="C12" s="34">
        <v>18</v>
      </c>
      <c r="D12" s="34">
        <v>5</v>
      </c>
      <c r="E12" s="34">
        <v>7</v>
      </c>
      <c r="F12" s="34">
        <v>10</v>
      </c>
      <c r="G12" s="35">
        <v>12</v>
      </c>
      <c r="H12" s="34"/>
      <c r="I12" s="34"/>
      <c r="J12" s="34"/>
      <c r="K12" s="34"/>
      <c r="L12" s="34"/>
      <c r="M12" s="36"/>
      <c r="N12" s="31">
        <f>SUM(B12:M12)</f>
      </c>
      <c r="O12" s="37"/>
      <c r="P12" s="25">
        <f>N12-O12</f>
      </c>
      <c r="Q12" s="26">
        <f>N12/O12</f>
      </c>
      <c r="Y12" s="3"/>
    </row>
    <row r="13" ht="24.75" customHeight="1" spans="1:25" x14ac:dyDescent="0.25">
      <c r="A13" s="32" t="s">
        <v>27</v>
      </c>
      <c r="B13" s="33">
        <v>31</v>
      </c>
      <c r="C13" s="34">
        <v>25</v>
      </c>
      <c r="D13" s="34">
        <v>24</v>
      </c>
      <c r="E13" s="34">
        <v>41</v>
      </c>
      <c r="F13" s="34">
        <v>30</v>
      </c>
      <c r="G13" s="35">
        <v>71</v>
      </c>
      <c r="H13" s="34"/>
      <c r="I13" s="34"/>
      <c r="J13" s="34"/>
      <c r="K13" s="34"/>
      <c r="L13" s="34"/>
      <c r="M13" s="36"/>
      <c r="N13" s="31">
        <f>SUM(B13:M13)</f>
      </c>
      <c r="O13" s="37"/>
      <c r="P13" s="25">
        <f>N13-O13</f>
      </c>
      <c r="Q13" s="26">
        <f>N13/O13</f>
      </c>
      <c r="Y13" s="3"/>
    </row>
    <row r="14" ht="24.75" customHeight="1" spans="1:25" x14ac:dyDescent="0.25">
      <c r="A14" s="32" t="s">
        <v>28</v>
      </c>
      <c r="B14" s="33">
        <f>1653+326+30</f>
      </c>
      <c r="C14" s="34">
        <f>960+313+245+2+76</f>
      </c>
      <c r="D14" s="34">
        <f>1620+47</f>
      </c>
      <c r="E14" s="34">
        <f>1096+338+254+46</f>
      </c>
      <c r="F14" s="34">
        <v>1294</v>
      </c>
      <c r="G14" s="35">
        <v>1243</v>
      </c>
      <c r="H14" s="34"/>
      <c r="I14" s="34"/>
      <c r="J14" s="34"/>
      <c r="K14" s="34"/>
      <c r="L14" s="34"/>
      <c r="M14" s="36"/>
      <c r="N14" s="31">
        <f>SUM(B14:M14)</f>
      </c>
      <c r="O14" s="37"/>
      <c r="P14" s="25">
        <f>N14-O14</f>
      </c>
      <c r="Q14" s="26">
        <f>N14/O14</f>
      </c>
      <c r="Y14" s="3"/>
    </row>
    <row r="15" ht="24.75" customHeight="1" spans="1:25" x14ac:dyDescent="0.25">
      <c r="A15" s="32" t="s">
        <v>29</v>
      </c>
      <c r="B15" s="33">
        <f>47+28+59+19</f>
      </c>
      <c r="C15" s="34">
        <f>28+21+36+15</f>
      </c>
      <c r="D15" s="34">
        <f>25+14+50+16</f>
      </c>
      <c r="E15" s="34">
        <f>36+27+21</f>
      </c>
      <c r="F15" s="34">
        <f>42+47+23</f>
      </c>
      <c r="G15" s="35">
        <f>40+39+22</f>
      </c>
      <c r="H15" s="34"/>
      <c r="I15" s="34"/>
      <c r="J15" s="34"/>
      <c r="K15" s="34"/>
      <c r="L15" s="34"/>
      <c r="M15" s="36"/>
      <c r="N15" s="31">
        <f>SUM(B15:M15)</f>
      </c>
      <c r="O15" s="37"/>
      <c r="P15" s="25">
        <f>N15-O15</f>
      </c>
      <c r="Q15" s="26">
        <f>N15/O15</f>
      </c>
      <c r="Y15" s="3"/>
    </row>
    <row r="16" ht="24.75" customHeight="1" spans="1:25" x14ac:dyDescent="0.25">
      <c r="A16" s="32" t="s">
        <v>30</v>
      </c>
      <c r="B16" s="33">
        <f>36+21+8</f>
      </c>
      <c r="C16" s="34">
        <f>27+5+18+5</f>
      </c>
      <c r="D16" s="34">
        <f>24+21+7</f>
      </c>
      <c r="E16" s="34">
        <f>27+26+4</f>
      </c>
      <c r="F16" s="34">
        <f>39+11+1</f>
      </c>
      <c r="G16" s="35">
        <f>33+28</f>
      </c>
      <c r="H16" s="34"/>
      <c r="I16" s="34"/>
      <c r="J16" s="34"/>
      <c r="K16" s="34"/>
      <c r="L16" s="34"/>
      <c r="M16" s="36"/>
      <c r="N16" s="31">
        <f>SUM(B16:M16)</f>
      </c>
      <c r="O16" s="37"/>
      <c r="P16" s="25">
        <f>N16-O16</f>
      </c>
      <c r="Q16" s="26">
        <f>N16/O16</f>
      </c>
      <c r="Y16" s="3"/>
    </row>
    <row r="17" ht="24.75" customHeight="1" spans="1:25" x14ac:dyDescent="0.25">
      <c r="A17" s="43" t="s">
        <v>31</v>
      </c>
      <c r="B17" s="33">
        <f>205+65</f>
      </c>
      <c r="C17" s="34">
        <f>66+41</f>
      </c>
      <c r="D17" s="34">
        <f>142+43</f>
      </c>
      <c r="E17" s="34">
        <v>350</v>
      </c>
      <c r="F17" s="34">
        <v>198</v>
      </c>
      <c r="G17" s="35">
        <f>155+50+1</f>
      </c>
      <c r="H17" s="34"/>
      <c r="I17" s="34"/>
      <c r="J17" s="34"/>
      <c r="K17" s="34"/>
      <c r="L17" s="34"/>
      <c r="M17" s="36"/>
      <c r="N17" s="31">
        <f>SUM(B17:M17)</f>
      </c>
      <c r="O17" s="37"/>
      <c r="P17" s="25">
        <f>N17-O17</f>
      </c>
      <c r="Q17" s="26">
        <f>N17/O17</f>
      </c>
      <c r="Y17" s="3"/>
    </row>
    <row r="18" ht="24.75" customHeight="1" spans="1:25" x14ac:dyDescent="0.25">
      <c r="A18" s="44" t="s">
        <v>32</v>
      </c>
      <c r="B18" s="33">
        <v>12</v>
      </c>
      <c r="C18" s="34">
        <f>310+3</f>
      </c>
      <c r="D18" s="34">
        <v>16</v>
      </c>
      <c r="E18" s="34">
        <v>7</v>
      </c>
      <c r="F18" s="34">
        <v>9</v>
      </c>
      <c r="G18" s="35">
        <f>158+174</f>
      </c>
      <c r="H18" s="34"/>
      <c r="I18" s="34"/>
      <c r="J18" s="34"/>
      <c r="K18" s="34"/>
      <c r="L18" s="34"/>
      <c r="M18" s="36"/>
      <c r="N18" s="31">
        <f>SUM(B18:M18)</f>
      </c>
      <c r="O18" s="37"/>
      <c r="P18" s="25">
        <f>N18-O18</f>
      </c>
      <c r="Q18" s="26">
        <f>N18/O18</f>
      </c>
      <c r="Y18" s="3"/>
    </row>
    <row r="19" ht="24.75" customHeight="1" spans="1:25" x14ac:dyDescent="0.25">
      <c r="A19" s="44" t="s">
        <v>33</v>
      </c>
      <c r="B19" s="33">
        <v>397</v>
      </c>
      <c r="C19" s="34">
        <f>238+50</f>
      </c>
      <c r="D19" s="34">
        <f>280+68</f>
      </c>
      <c r="E19" s="34">
        <f>155+30</f>
      </c>
      <c r="F19" s="34">
        <f>234+57</f>
      </c>
      <c r="G19" s="35">
        <v>598</v>
      </c>
      <c r="H19" s="34"/>
      <c r="I19" s="34"/>
      <c r="J19" s="34"/>
      <c r="K19" s="34"/>
      <c r="L19" s="34"/>
      <c r="M19" s="36"/>
      <c r="N19" s="31">
        <f>SUM(B19:M19)</f>
      </c>
      <c r="O19" s="37"/>
      <c r="P19" s="25">
        <f>N19-O19</f>
      </c>
      <c r="Q19" s="26">
        <f>N19/O19</f>
      </c>
      <c r="Y19" s="3"/>
    </row>
    <row r="20" ht="24.75" customHeight="1" spans="1:25" x14ac:dyDescent="0.25">
      <c r="A20" s="45" t="s">
        <v>34</v>
      </c>
      <c r="B20" s="33">
        <v>58</v>
      </c>
      <c r="C20" s="34">
        <v>63</v>
      </c>
      <c r="D20" s="34">
        <v>117</v>
      </c>
      <c r="E20" s="34">
        <v>53</v>
      </c>
      <c r="F20" s="34">
        <v>40</v>
      </c>
      <c r="G20" s="35">
        <v>22</v>
      </c>
      <c r="H20" s="34"/>
      <c r="I20" s="34"/>
      <c r="J20" s="34"/>
      <c r="K20" s="34"/>
      <c r="L20" s="34"/>
      <c r="M20" s="36"/>
      <c r="N20" s="31">
        <f>SUM(B20:M20)</f>
      </c>
      <c r="O20" s="37"/>
      <c r="P20" s="25">
        <f>N20-O20</f>
      </c>
      <c r="Q20" s="26">
        <f>N20/O20</f>
      </c>
      <c r="Y20" s="3"/>
    </row>
    <row r="21" ht="24.75" customHeight="1" spans="1:25" x14ac:dyDescent="0.25">
      <c r="A21" s="45" t="s">
        <v>35</v>
      </c>
      <c r="B21" s="33">
        <v>1551</v>
      </c>
      <c r="C21" s="34">
        <v>1727</v>
      </c>
      <c r="D21" s="34">
        <v>1660</v>
      </c>
      <c r="E21" s="34">
        <v>1563</v>
      </c>
      <c r="F21" s="34">
        <v>1103</v>
      </c>
      <c r="G21" s="35">
        <v>914</v>
      </c>
      <c r="H21" s="34"/>
      <c r="I21" s="34"/>
      <c r="J21" s="34"/>
      <c r="K21" s="34"/>
      <c r="L21" s="34"/>
      <c r="M21" s="36"/>
      <c r="N21" s="31">
        <f>SUM(B21:M21)</f>
      </c>
      <c r="O21" s="46"/>
      <c r="P21" s="25">
        <f>N21-O21</f>
      </c>
      <c r="Q21" s="26">
        <f>N21/O21</f>
      </c>
      <c r="Y21" s="3"/>
    </row>
    <row r="22" ht="24.75" customHeight="1" spans="1:25" x14ac:dyDescent="0.25">
      <c r="A22" s="45" t="s">
        <v>36</v>
      </c>
      <c r="B22" s="33">
        <v>359</v>
      </c>
      <c r="C22" s="34">
        <v>140</v>
      </c>
      <c r="D22" s="34">
        <v>165</v>
      </c>
      <c r="E22" s="34">
        <v>173</v>
      </c>
      <c r="F22" s="34">
        <v>218</v>
      </c>
      <c r="G22" s="35">
        <v>204</v>
      </c>
      <c r="H22" s="34"/>
      <c r="I22" s="34"/>
      <c r="J22" s="34"/>
      <c r="K22" s="34"/>
      <c r="L22" s="34"/>
      <c r="M22" s="36"/>
      <c r="N22" s="31">
        <f>SUM(B22:M22)</f>
      </c>
      <c r="O22" s="46"/>
      <c r="P22" s="25">
        <f>N22-O22</f>
      </c>
      <c r="Q22" s="26">
        <f>N22/O22</f>
      </c>
      <c r="Y22" s="3"/>
    </row>
    <row r="23" ht="24.75" customHeight="1" spans="1:25" x14ac:dyDescent="0.25">
      <c r="A23" s="45" t="s">
        <v>37</v>
      </c>
      <c r="B23" s="33">
        <f>337+12</f>
      </c>
      <c r="C23" s="34">
        <f>96+177+8</f>
      </c>
      <c r="D23" s="34">
        <v>421</v>
      </c>
      <c r="E23" s="34">
        <f>94+219+4</f>
      </c>
      <c r="F23" s="34">
        <f>293+422+5</f>
      </c>
      <c r="G23" s="35">
        <f>286+10</f>
      </c>
      <c r="H23" s="34"/>
      <c r="I23" s="34"/>
      <c r="J23" s="34"/>
      <c r="K23" s="34"/>
      <c r="L23" s="34"/>
      <c r="M23" s="36"/>
      <c r="N23" s="31">
        <f>SUM(B23:M23)</f>
      </c>
      <c r="O23" s="46"/>
      <c r="P23" s="25">
        <f>N23-O23</f>
      </c>
      <c r="Q23" s="26">
        <f>N23/O23</f>
      </c>
      <c r="Y23" s="3"/>
    </row>
    <row r="24" ht="24.75" customHeight="1" spans="1:25" x14ac:dyDescent="0.25">
      <c r="A24" s="44" t="s">
        <v>38</v>
      </c>
      <c r="B24" s="33">
        <f>108+53+4</f>
      </c>
      <c r="C24" s="34">
        <f>88+44+4</f>
      </c>
      <c r="D24" s="34">
        <v>143</v>
      </c>
      <c r="E24" s="34">
        <v>138</v>
      </c>
      <c r="F24" s="34">
        <f>57+34+1</f>
      </c>
      <c r="G24" s="35">
        <v>108</v>
      </c>
      <c r="H24" s="34"/>
      <c r="I24" s="34"/>
      <c r="J24" s="34"/>
      <c r="K24" s="34"/>
      <c r="L24" s="34"/>
      <c r="M24" s="36"/>
      <c r="N24" s="31">
        <f>SUM(B24:M24)</f>
      </c>
      <c r="O24" s="46"/>
      <c r="P24" s="25">
        <f>N24-O24</f>
      </c>
      <c r="Q24" s="26">
        <f>N24/O24</f>
      </c>
      <c r="Y24" s="3"/>
    </row>
    <row r="25" ht="24.75" customHeight="1" spans="1:25" x14ac:dyDescent="0.25">
      <c r="A25" s="44" t="s">
        <v>39</v>
      </c>
      <c r="B25" s="33">
        <v>149</v>
      </c>
      <c r="C25" s="34">
        <v>114</v>
      </c>
      <c r="D25" s="34">
        <v>168</v>
      </c>
      <c r="E25" s="34">
        <v>133</v>
      </c>
      <c r="F25" s="34">
        <v>76</v>
      </c>
      <c r="G25" s="35">
        <f>135+7</f>
      </c>
      <c r="H25" s="34"/>
      <c r="I25" s="34"/>
      <c r="J25" s="34"/>
      <c r="K25" s="34"/>
      <c r="L25" s="34"/>
      <c r="M25" s="36"/>
      <c r="N25" s="31">
        <f>SUM(B25:M25)</f>
      </c>
      <c r="O25" s="46"/>
      <c r="P25" s="25">
        <f>N25-O25</f>
      </c>
      <c r="Q25" s="26">
        <f>N25/O25</f>
      </c>
      <c r="Y25" s="3"/>
    </row>
    <row r="26" ht="24.75" customHeight="1" spans="1:25" x14ac:dyDescent="0.25">
      <c r="A26" s="47" t="s">
        <v>40</v>
      </c>
      <c r="B26" s="33">
        <v>6</v>
      </c>
      <c r="C26" s="34">
        <v>2</v>
      </c>
      <c r="D26" s="34">
        <v>6</v>
      </c>
      <c r="E26" s="34">
        <v>14</v>
      </c>
      <c r="F26" s="34">
        <v>28</v>
      </c>
      <c r="G26" s="35">
        <v>12</v>
      </c>
      <c r="H26" s="34"/>
      <c r="I26" s="34"/>
      <c r="J26" s="34"/>
      <c r="K26" s="34"/>
      <c r="L26" s="34"/>
      <c r="M26" s="36"/>
      <c r="N26" s="31">
        <f>SUM(B26:M26)</f>
      </c>
      <c r="O26" s="46"/>
      <c r="P26" s="25">
        <f>N26-O26</f>
      </c>
      <c r="Q26" s="26">
        <f>N26/O26</f>
      </c>
      <c r="Y26" s="3"/>
    </row>
    <row r="27" ht="24.75" customHeight="1" spans="1:25" x14ac:dyDescent="0.25">
      <c r="A27" s="43" t="s">
        <v>41</v>
      </c>
      <c r="B27" s="33">
        <v>11</v>
      </c>
      <c r="C27" s="34">
        <v>21</v>
      </c>
      <c r="D27" s="34">
        <v>10</v>
      </c>
      <c r="E27" s="34">
        <v>15</v>
      </c>
      <c r="F27" s="34">
        <v>48</v>
      </c>
      <c r="G27" s="35">
        <v>27</v>
      </c>
      <c r="H27" s="34"/>
      <c r="I27" s="34"/>
      <c r="J27" s="34"/>
      <c r="K27" s="34"/>
      <c r="L27" s="34"/>
      <c r="M27" s="36"/>
      <c r="N27" s="31">
        <f>SUM(B27:M27)</f>
      </c>
      <c r="O27" s="46"/>
      <c r="P27" s="25">
        <f>N27-O27</f>
      </c>
      <c r="Q27" s="26">
        <f>N27/O27</f>
      </c>
      <c r="Y27" s="3"/>
    </row>
    <row r="28" ht="24.75" customHeight="1" spans="1:25" x14ac:dyDescent="0.25">
      <c r="A28" s="44" t="s">
        <v>42</v>
      </c>
      <c r="B28" s="48">
        <v>9</v>
      </c>
      <c r="C28" s="49">
        <v>1</v>
      </c>
      <c r="D28" s="34">
        <v>10</v>
      </c>
      <c r="E28" s="34">
        <v>11</v>
      </c>
      <c r="F28" s="49">
        <v>6</v>
      </c>
      <c r="G28" s="50">
        <v>14</v>
      </c>
      <c r="H28" s="49"/>
      <c r="I28" s="49"/>
      <c r="J28" s="49"/>
      <c r="K28" s="49"/>
      <c r="L28" s="49"/>
      <c r="M28" s="51"/>
      <c r="N28" s="31">
        <f>SUM(B28:M28)</f>
      </c>
      <c r="O28" s="46"/>
      <c r="P28" s="25">
        <f>N28-O28</f>
      </c>
      <c r="Q28" s="26">
        <f>N28/O28</f>
      </c>
      <c r="T28" s="52"/>
      <c r="Y28" s="3"/>
    </row>
    <row r="29" ht="24.75" customHeight="1" spans="1:25" x14ac:dyDescent="0.25">
      <c r="A29" s="44" t="s">
        <v>43</v>
      </c>
      <c r="B29" s="48">
        <v>17</v>
      </c>
      <c r="C29" s="49">
        <f>14+11</f>
      </c>
      <c r="D29" s="49">
        <v>35</v>
      </c>
      <c r="E29" s="49">
        <f>24+33</f>
      </c>
      <c r="F29" s="49">
        <v>11</v>
      </c>
      <c r="G29" s="50">
        <v>39</v>
      </c>
      <c r="H29" s="49"/>
      <c r="I29" s="49"/>
      <c r="J29" s="49"/>
      <c r="K29" s="49"/>
      <c r="L29" s="49"/>
      <c r="M29" s="51"/>
      <c r="N29" s="31">
        <f>SUM(B29:M29)</f>
      </c>
      <c r="O29" s="46"/>
      <c r="P29" s="25">
        <f>N29-O29</f>
      </c>
      <c r="Q29" s="26">
        <f>N29/O29</f>
      </c>
      <c r="Y29" s="3"/>
    </row>
    <row r="30" ht="24.75" customHeight="1" spans="1:25" x14ac:dyDescent="0.25">
      <c r="A30" s="44" t="s">
        <v>44</v>
      </c>
      <c r="B30" s="48">
        <v>9</v>
      </c>
      <c r="C30" s="49">
        <v>4</v>
      </c>
      <c r="D30" s="49">
        <v>5</v>
      </c>
      <c r="E30" s="49">
        <v>6</v>
      </c>
      <c r="F30" s="49">
        <v>2</v>
      </c>
      <c r="G30" s="50"/>
      <c r="H30" s="49"/>
      <c r="I30" s="49"/>
      <c r="J30" s="49"/>
      <c r="K30" s="49"/>
      <c r="L30" s="49"/>
      <c r="M30" s="51"/>
      <c r="N30" s="31">
        <f>SUM(B30:M30)</f>
      </c>
      <c r="O30" s="46"/>
      <c r="P30" s="25">
        <f>N30-O30</f>
      </c>
      <c r="Q30" s="26">
        <f>N30/O30</f>
      </c>
      <c r="Y30" s="3"/>
    </row>
    <row r="31" ht="24.75" customHeight="1" spans="1:25" x14ac:dyDescent="0.25">
      <c r="A31" s="44" t="s">
        <v>45</v>
      </c>
      <c r="B31" s="48">
        <v>22</v>
      </c>
      <c r="C31" s="49">
        <v>51</v>
      </c>
      <c r="D31" s="49">
        <v>27</v>
      </c>
      <c r="E31" s="49">
        <v>22</v>
      </c>
      <c r="F31" s="49">
        <v>14</v>
      </c>
      <c r="G31" s="50">
        <v>33</v>
      </c>
      <c r="H31" s="49"/>
      <c r="I31" s="49"/>
      <c r="J31" s="49"/>
      <c r="K31" s="49"/>
      <c r="L31" s="49"/>
      <c r="M31" s="51"/>
      <c r="N31" s="31">
        <f>SUM(B31:M31)</f>
      </c>
      <c r="O31" s="46"/>
      <c r="P31" s="25">
        <f>N31-O31</f>
      </c>
      <c r="Q31" s="26">
        <f>N31/O31</f>
      </c>
      <c r="Y31" s="3"/>
    </row>
    <row r="32" ht="24.75" customHeight="1" spans="1:25" x14ac:dyDescent="0.25">
      <c r="A32" s="44" t="s">
        <v>46</v>
      </c>
      <c r="B32" s="48">
        <v>0</v>
      </c>
      <c r="C32" s="49">
        <v>1</v>
      </c>
      <c r="D32" s="49">
        <v>0</v>
      </c>
      <c r="E32" s="49">
        <v>0</v>
      </c>
      <c r="F32" s="49">
        <v>0</v>
      </c>
      <c r="G32" s="50">
        <v>0</v>
      </c>
      <c r="H32" s="49"/>
      <c r="I32" s="49"/>
      <c r="J32" s="49"/>
      <c r="K32" s="49"/>
      <c r="L32" s="49"/>
      <c r="M32" s="51"/>
      <c r="N32" s="31">
        <f>SUM(B32:M32)</f>
      </c>
      <c r="O32" s="46"/>
      <c r="P32" s="25">
        <f>N32-O32</f>
      </c>
      <c r="Q32" s="26">
        <f>N32/O32</f>
      </c>
      <c r="Y32" s="3"/>
    </row>
    <row r="33" ht="24.75" customHeight="1" spans="1:17" x14ac:dyDescent="0.25">
      <c r="A33" s="44" t="s">
        <v>47</v>
      </c>
      <c r="B33" s="48"/>
      <c r="C33" s="49"/>
      <c r="D33" s="49"/>
      <c r="E33" s="49"/>
      <c r="F33" s="49"/>
      <c r="G33" s="50"/>
      <c r="H33" s="49"/>
      <c r="I33" s="49"/>
      <c r="J33" s="49"/>
      <c r="K33" s="49"/>
      <c r="L33" s="49"/>
      <c r="M33" s="51"/>
      <c r="N33" s="31">
        <f>SUM(B33:M33)</f>
      </c>
      <c r="O33" s="46"/>
      <c r="P33" s="25">
        <f>N33-O33</f>
      </c>
      <c r="Q33" s="26">
        <f>N33/O33</f>
      </c>
    </row>
    <row r="34" ht="24.75" customHeight="1" spans="1:17" x14ac:dyDescent="0.25">
      <c r="A34" s="44" t="s">
        <v>48</v>
      </c>
      <c r="B34" s="48"/>
      <c r="C34" s="49"/>
      <c r="D34" s="49"/>
      <c r="E34" s="49"/>
      <c r="F34" s="49"/>
      <c r="G34" s="50"/>
      <c r="H34" s="49"/>
      <c r="I34" s="49"/>
      <c r="J34" s="49"/>
      <c r="K34" s="49"/>
      <c r="L34" s="49"/>
      <c r="M34" s="51"/>
      <c r="N34" s="31">
        <f>SUM(B34:M34)</f>
      </c>
      <c r="O34" s="46"/>
      <c r="P34" s="25">
        <f>N34-O34</f>
      </c>
      <c r="Q34" s="26">
        <f>N34/O34</f>
      </c>
    </row>
    <row r="35" ht="24.75" customHeight="1" spans="1:25" x14ac:dyDescent="0.25">
      <c r="A35" s="44" t="s">
        <v>49</v>
      </c>
      <c r="B35" s="48">
        <v>579</v>
      </c>
      <c r="C35" s="49">
        <v>119</v>
      </c>
      <c r="D35" s="49">
        <v>368</v>
      </c>
      <c r="E35" s="49">
        <v>387</v>
      </c>
      <c r="F35" s="49">
        <v>1093</v>
      </c>
      <c r="G35" s="50">
        <v>1637</v>
      </c>
      <c r="H35" s="49"/>
      <c r="I35" s="49"/>
      <c r="J35" s="49"/>
      <c r="K35" s="49"/>
      <c r="L35" s="49"/>
      <c r="M35" s="51"/>
      <c r="N35" s="31">
        <f>SUM(B35:M35)</f>
      </c>
      <c r="O35" s="46"/>
      <c r="P35" s="25">
        <f>N35-O35</f>
      </c>
      <c r="Q35" s="26">
        <f>N35/O35</f>
      </c>
      <c r="R35" s="3"/>
      <c r="S35" s="3"/>
      <c r="T35" s="3"/>
      <c r="U35" s="3"/>
      <c r="V35" s="3"/>
      <c r="W35" s="3"/>
      <c r="X35" s="3"/>
      <c r="Y35" s="3"/>
    </row>
    <row r="36" ht="24.75" customHeight="1" spans="1:25" x14ac:dyDescent="0.25">
      <c r="A36" s="44" t="s">
        <v>50</v>
      </c>
      <c r="B36" s="48">
        <v>956</v>
      </c>
      <c r="C36" s="49">
        <v>791</v>
      </c>
      <c r="D36" s="49">
        <v>934</v>
      </c>
      <c r="E36" s="49">
        <v>972</v>
      </c>
      <c r="F36" s="49">
        <v>768</v>
      </c>
      <c r="G36" s="50">
        <v>2420</v>
      </c>
      <c r="H36" s="49"/>
      <c r="I36" s="49"/>
      <c r="J36" s="49"/>
      <c r="K36" s="49"/>
      <c r="L36" s="49"/>
      <c r="M36" s="51"/>
      <c r="N36" s="31">
        <f>SUM(B36:M36)</f>
      </c>
      <c r="O36" s="46"/>
      <c r="P36" s="25">
        <f>N36-O36</f>
      </c>
      <c r="Q36" s="26">
        <f>N36/O36</f>
      </c>
      <c r="R36" s="3"/>
      <c r="S36" s="3"/>
      <c r="T36" s="3"/>
      <c r="U36" s="3"/>
      <c r="V36" s="3"/>
      <c r="W36" s="3"/>
      <c r="X36" s="3"/>
      <c r="Y36" s="3"/>
    </row>
    <row r="37" ht="24.75" customHeight="1" spans="1:25" x14ac:dyDescent="0.25">
      <c r="A37" s="44" t="s">
        <v>51</v>
      </c>
      <c r="B37" s="48"/>
      <c r="C37" s="49"/>
      <c r="D37" s="49"/>
      <c r="E37" s="49"/>
      <c r="F37" s="49"/>
      <c r="G37" s="50"/>
      <c r="H37" s="49"/>
      <c r="I37" s="49"/>
      <c r="J37" s="49"/>
      <c r="K37" s="49"/>
      <c r="L37" s="49"/>
      <c r="M37" s="51"/>
      <c r="N37" s="31">
        <f>SUM(B37:M37)</f>
      </c>
      <c r="O37" s="46"/>
      <c r="P37" s="25">
        <f>N37-O37</f>
      </c>
      <c r="Q37" s="26">
        <f>N37/O37</f>
      </c>
      <c r="R37" s="3"/>
      <c r="S37" s="3"/>
      <c r="T37" s="3"/>
      <c r="U37" s="3"/>
      <c r="V37" s="3"/>
      <c r="W37" s="3"/>
      <c r="X37" s="3"/>
      <c r="Y37" s="3"/>
    </row>
    <row r="38" ht="24.75" customHeight="1" spans="1:25" x14ac:dyDescent="0.25">
      <c r="A38" s="53" t="s">
        <v>52</v>
      </c>
      <c r="B38" s="54">
        <v>2</v>
      </c>
      <c r="C38" s="55">
        <v>10</v>
      </c>
      <c r="D38" s="55">
        <v>1</v>
      </c>
      <c r="E38" s="55">
        <v>10</v>
      </c>
      <c r="F38" s="55">
        <v>0</v>
      </c>
      <c r="G38" s="56">
        <f>10+23</f>
      </c>
      <c r="H38" s="55"/>
      <c r="I38" s="55"/>
      <c r="J38" s="55"/>
      <c r="K38" s="55"/>
      <c r="L38" s="55"/>
      <c r="M38" s="57"/>
      <c r="N38" s="31">
        <f>SUM(B38:M38)</f>
      </c>
      <c r="O38" s="46"/>
      <c r="P38" s="25">
        <f>N38-O38</f>
      </c>
      <c r="Q38" s="26">
        <f>N38/O38</f>
      </c>
      <c r="R38" s="3"/>
      <c r="S38" s="3"/>
      <c r="T38" s="3"/>
      <c r="U38" s="3"/>
      <c r="V38" s="3"/>
      <c r="W38" s="3"/>
      <c r="X38" s="3"/>
      <c r="Y38" s="3"/>
    </row>
    <row r="39" ht="24.75" customHeight="1" spans="1:25" x14ac:dyDescent="0.25">
      <c r="A39" s="1" t="s">
        <v>53</v>
      </c>
      <c r="B39" s="1">
        <f>SUM(B5:B38)</f>
      </c>
      <c r="C39" s="1">
        <f>SUM(C5:C38)</f>
      </c>
      <c r="D39" s="1">
        <f>SUM(D5:D38)</f>
      </c>
      <c r="E39" s="1">
        <f>SUM(E5:E38)</f>
      </c>
      <c r="F39" s="1">
        <f>SUM(F5:F38)</f>
      </c>
      <c r="G39" s="1">
        <f>SUM(G5:G38)</f>
      </c>
      <c r="H39" s="1">
        <f>SUM(H5:H38)</f>
      </c>
      <c r="I39" s="1">
        <f>SUM(I5:I38)</f>
      </c>
      <c r="J39" s="1">
        <f>SUM(J5:J38)</f>
      </c>
      <c r="K39" s="1">
        <f>SUM(K5:K38)</f>
      </c>
      <c r="L39" s="1">
        <f>SUM(L5:L38)</f>
      </c>
      <c r="M39" s="1">
        <f>SUM(M5:M38)</f>
      </c>
      <c r="N39" s="9">
        <f>SUM(N5:N38)</f>
      </c>
      <c r="O39" s="58">
        <f>SUM(O5:O38)</f>
      </c>
      <c r="P39" s="16">
        <f>SUM(P5:P38)</f>
      </c>
      <c r="Q39" s="59">
        <f>N39/O39</f>
      </c>
      <c r="R39" s="3"/>
      <c r="S39" s="3"/>
      <c r="T39" s="3"/>
      <c r="U39" s="3"/>
      <c r="V39" s="3"/>
      <c r="W39" s="3"/>
      <c r="X39" s="3"/>
      <c r="Y39" s="3"/>
    </row>
    <row r="40" ht="24.75" customHeight="1" spans="1:25" x14ac:dyDescent="0.25">
      <c r="A40" s="3"/>
      <c r="B40" s="5" t="s">
        <v>54</v>
      </c>
      <c r="C40" s="5"/>
      <c r="D40" s="5"/>
      <c r="E40" s="5"/>
      <c r="F40" s="5"/>
      <c r="G40" s="5"/>
      <c r="H40" s="1"/>
      <c r="I40" s="1"/>
      <c r="J40" s="1"/>
      <c r="K40" s="1"/>
      <c r="L40" s="1"/>
      <c r="M40" s="2"/>
      <c r="N40" s="2"/>
      <c r="O40" s="2"/>
      <c r="P40" s="2"/>
      <c r="Q40" s="2"/>
      <c r="R40" s="3"/>
      <c r="S40" s="2"/>
      <c r="T40" s="2"/>
      <c r="U40" s="2"/>
      <c r="V40" s="6"/>
      <c r="W40" s="6"/>
      <c r="X40" s="7"/>
      <c r="Y40" s="8"/>
    </row>
    <row r="41" ht="24.75" customHeight="1" spans="1:25" x14ac:dyDescent="0.25">
      <c r="A41" s="9" t="s">
        <v>55</v>
      </c>
      <c r="B41" s="60" t="s">
        <v>3</v>
      </c>
      <c r="C41" s="11" t="s">
        <v>4</v>
      </c>
      <c r="D41" s="11" t="s">
        <v>5</v>
      </c>
      <c r="E41" s="11" t="s">
        <v>6</v>
      </c>
      <c r="F41" s="11" t="s">
        <v>7</v>
      </c>
      <c r="G41" s="61" t="s">
        <v>8</v>
      </c>
      <c r="H41" s="9" t="s">
        <v>9</v>
      </c>
      <c r="I41" s="13" t="s">
        <v>10</v>
      </c>
      <c r="J41" s="13" t="s">
        <v>11</v>
      </c>
      <c r="K41" s="62" t="s">
        <v>12</v>
      </c>
      <c r="L41" s="14" t="s">
        <v>13</v>
      </c>
      <c r="M41" s="14" t="s">
        <v>14</v>
      </c>
      <c r="N41" s="9" t="s">
        <v>15</v>
      </c>
      <c r="O41" s="58" t="s">
        <v>16</v>
      </c>
      <c r="P41" s="16" t="s">
        <v>17</v>
      </c>
      <c r="Q41" s="17" t="s">
        <v>18</v>
      </c>
      <c r="R41" s="3"/>
      <c r="S41" s="2"/>
      <c r="T41" s="2"/>
      <c r="U41" s="2"/>
      <c r="V41" s="6"/>
      <c r="W41" s="6"/>
      <c r="X41" s="7"/>
      <c r="Y41" s="8"/>
    </row>
    <row r="42" ht="24.75" customHeight="1" spans="1:25" x14ac:dyDescent="0.25">
      <c r="A42" s="63" t="s">
        <v>19</v>
      </c>
      <c r="B42" s="64">
        <v>69122.2</v>
      </c>
      <c r="C42" s="65">
        <v>50104.68</v>
      </c>
      <c r="D42" s="65">
        <v>63469.74</v>
      </c>
      <c r="E42" s="65">
        <v>58369.04</v>
      </c>
      <c r="F42" s="65">
        <v>58907.29</v>
      </c>
      <c r="G42" s="66">
        <v>47511.6</v>
      </c>
      <c r="H42" s="65"/>
      <c r="I42" s="64"/>
      <c r="J42" s="65"/>
      <c r="K42" s="67"/>
      <c r="L42" s="68"/>
      <c r="M42" s="69"/>
      <c r="N42" s="70">
        <f>SUM(B42:M42)</f>
      </c>
      <c r="O42" s="33"/>
      <c r="P42" s="71">
        <f>N42-O42</f>
      </c>
      <c r="Q42" s="72">
        <f>N42/O42</f>
      </c>
      <c r="R42" s="3"/>
      <c r="S42" s="3"/>
      <c r="T42" s="3"/>
      <c r="U42" s="3"/>
      <c r="V42" s="7"/>
      <c r="W42" s="7"/>
      <c r="X42" s="7"/>
      <c r="Y42" s="8"/>
    </row>
    <row r="43" ht="24.75" customHeight="1" spans="1:25" x14ac:dyDescent="0.25">
      <c r="A43" s="41" t="s">
        <v>20</v>
      </c>
      <c r="B43" s="38">
        <v>6713.4</v>
      </c>
      <c r="C43" s="73">
        <v>7520</v>
      </c>
      <c r="D43" s="73">
        <v>7832</v>
      </c>
      <c r="E43" s="73">
        <v>6234</v>
      </c>
      <c r="F43" s="73">
        <v>11513</v>
      </c>
      <c r="G43" s="74">
        <v>9964</v>
      </c>
      <c r="H43" s="73"/>
      <c r="I43" s="75"/>
      <c r="J43" s="73"/>
      <c r="K43" s="76"/>
      <c r="L43" s="77"/>
      <c r="M43" s="78"/>
      <c r="N43" s="70">
        <f>SUM(B43:M43)</f>
      </c>
      <c r="O43" s="33"/>
      <c r="P43" s="71">
        <f>N43-O43</f>
      </c>
      <c r="Q43" s="72">
        <f>N43/O43</f>
      </c>
      <c r="R43" s="3"/>
      <c r="S43" s="3"/>
      <c r="T43" s="3"/>
      <c r="U43" s="3"/>
      <c r="V43" s="7"/>
      <c r="W43" s="7"/>
      <c r="X43" s="7"/>
      <c r="Y43" s="8"/>
    </row>
    <row r="44" ht="24.75" customHeight="1" spans="1:17" x14ac:dyDescent="0.25">
      <c r="A44" s="41" t="s">
        <v>21</v>
      </c>
      <c r="B44" s="42">
        <v>48835.75</v>
      </c>
      <c r="C44" s="40">
        <v>45119.5</v>
      </c>
      <c r="D44" s="40">
        <v>47784.5</v>
      </c>
      <c r="E44" s="40">
        <v>47601.75</v>
      </c>
      <c r="F44" s="40">
        <v>44940.25</v>
      </c>
      <c r="G44" s="79">
        <v>44199.5</v>
      </c>
      <c r="H44" s="40"/>
      <c r="I44" s="42"/>
      <c r="J44" s="40"/>
      <c r="K44" s="80"/>
      <c r="L44" s="77"/>
      <c r="M44" s="81"/>
      <c r="N44" s="70">
        <f>SUM(B44:M44)</f>
      </c>
      <c r="O44" s="33"/>
      <c r="P44" s="71">
        <f>N44-O44</f>
      </c>
      <c r="Q44" s="72">
        <f>N44/O44</f>
      </c>
    </row>
    <row r="45" ht="24.75" customHeight="1" spans="1:17" x14ac:dyDescent="0.25">
      <c r="A45" s="41" t="s">
        <v>56</v>
      </c>
      <c r="B45" s="42">
        <v>1932.05</v>
      </c>
      <c r="C45" s="40">
        <v>2583.34</v>
      </c>
      <c r="D45" s="40">
        <v>3600</v>
      </c>
      <c r="E45" s="40">
        <v>2795</v>
      </c>
      <c r="F45" s="40">
        <v>2843.25</v>
      </c>
      <c r="G45" s="79">
        <v>3375</v>
      </c>
      <c r="H45" s="40"/>
      <c r="I45" s="42"/>
      <c r="J45" s="40"/>
      <c r="K45" s="80"/>
      <c r="L45" s="77"/>
      <c r="M45" s="81"/>
      <c r="N45" s="70">
        <f>SUM(B45:M45)</f>
      </c>
      <c r="O45" s="33"/>
      <c r="P45" s="71">
        <f>N45-O45</f>
      </c>
      <c r="Q45" s="72">
        <f>N45/O45</f>
      </c>
    </row>
    <row r="46" ht="24.75" customHeight="1" spans="1:17" x14ac:dyDescent="0.25">
      <c r="A46" s="32" t="s">
        <v>23</v>
      </c>
      <c r="B46" s="33">
        <v>71821</v>
      </c>
      <c r="C46" s="34">
        <v>30142</v>
      </c>
      <c r="D46" s="40">
        <v>25332</v>
      </c>
      <c r="E46" s="40">
        <v>27851</v>
      </c>
      <c r="F46" s="40">
        <v>44346</v>
      </c>
      <c r="G46" s="79">
        <v>20753</v>
      </c>
      <c r="H46" s="40"/>
      <c r="I46" s="42"/>
      <c r="J46" s="40"/>
      <c r="K46" s="80"/>
      <c r="L46" s="77"/>
      <c r="M46" s="81"/>
      <c r="N46" s="70">
        <f>SUM(B46:M46)</f>
      </c>
      <c r="O46" s="33"/>
      <c r="P46" s="71">
        <f>N46-O46</f>
      </c>
      <c r="Q46" s="72">
        <f>N46/O46</f>
      </c>
    </row>
    <row r="47" ht="24.75" customHeight="1" spans="1:17" x14ac:dyDescent="0.25">
      <c r="A47" s="41" t="s">
        <v>24</v>
      </c>
      <c r="B47" s="37">
        <v>1078</v>
      </c>
      <c r="C47" s="34">
        <v>686</v>
      </c>
      <c r="D47" s="40">
        <v>686</v>
      </c>
      <c r="E47" s="40">
        <v>-147</v>
      </c>
      <c r="F47" s="40">
        <v>0</v>
      </c>
      <c r="G47" s="79">
        <v>588</v>
      </c>
      <c r="H47" s="40"/>
      <c r="I47" s="42"/>
      <c r="J47" s="40"/>
      <c r="K47" s="80"/>
      <c r="L47" s="77"/>
      <c r="M47" s="81"/>
      <c r="N47" s="70">
        <f>SUM(B47:M47)</f>
      </c>
      <c r="O47" s="33"/>
      <c r="P47" s="71">
        <f>N47-O47</f>
      </c>
      <c r="Q47" s="72">
        <f>N47/O47</f>
      </c>
    </row>
    <row r="48" ht="24.75" customHeight="1" spans="1:17" x14ac:dyDescent="0.25">
      <c r="A48" s="41" t="s">
        <v>25</v>
      </c>
      <c r="B48" s="42">
        <v>1470</v>
      </c>
      <c r="C48" s="40">
        <v>420</v>
      </c>
      <c r="D48" s="40">
        <v>875</v>
      </c>
      <c r="E48" s="40">
        <v>1260</v>
      </c>
      <c r="F48" s="40">
        <v>1155</v>
      </c>
      <c r="G48" s="79">
        <v>-70</v>
      </c>
      <c r="H48" s="40"/>
      <c r="I48" s="42"/>
      <c r="J48" s="40"/>
      <c r="K48" s="80"/>
      <c r="L48" s="77"/>
      <c r="M48" s="81"/>
      <c r="N48" s="70">
        <f>SUM(B48:M48)</f>
      </c>
      <c r="O48" s="33"/>
      <c r="P48" s="71">
        <f>N48-O48</f>
      </c>
      <c r="Q48" s="72">
        <f>N48/O48</f>
      </c>
    </row>
    <row r="49" ht="24.75" customHeight="1" spans="1:17" x14ac:dyDescent="0.25">
      <c r="A49" s="41" t="s">
        <v>26</v>
      </c>
      <c r="B49" s="42">
        <v>1200</v>
      </c>
      <c r="C49" s="40">
        <v>1200</v>
      </c>
      <c r="D49" s="40">
        <v>320</v>
      </c>
      <c r="E49" s="40">
        <v>440</v>
      </c>
      <c r="F49" s="40">
        <v>640</v>
      </c>
      <c r="G49" s="79">
        <v>800</v>
      </c>
      <c r="H49" s="40"/>
      <c r="I49" s="42"/>
      <c r="J49" s="40"/>
      <c r="K49" s="80"/>
      <c r="L49" s="77"/>
      <c r="M49" s="81"/>
      <c r="N49" s="70">
        <f>SUM(B49:M49)</f>
      </c>
      <c r="O49" s="33"/>
      <c r="P49" s="71">
        <f>N49-O49</f>
      </c>
      <c r="Q49" s="72">
        <f>N49/O49</f>
      </c>
    </row>
    <row r="50" ht="24.75" customHeight="1" spans="1:17" x14ac:dyDescent="0.25">
      <c r="A50" s="41" t="s">
        <v>27</v>
      </c>
      <c r="B50" s="42">
        <v>1615</v>
      </c>
      <c r="C50" s="40">
        <v>898.05</v>
      </c>
      <c r="D50" s="40">
        <v>917.2</v>
      </c>
      <c r="E50" s="40">
        <v>2150</v>
      </c>
      <c r="F50" s="82">
        <v>1590</v>
      </c>
      <c r="G50" s="79">
        <v>2518.48</v>
      </c>
      <c r="H50" s="40"/>
      <c r="I50" s="42"/>
      <c r="J50" s="83"/>
      <c r="K50" s="80"/>
      <c r="L50" s="77"/>
      <c r="M50" s="84"/>
      <c r="N50" s="70">
        <f>SUM(B50:M50)</f>
      </c>
      <c r="O50" s="33"/>
      <c r="P50" s="71">
        <f>N50-O50</f>
      </c>
      <c r="Q50" s="72">
        <f>N50/O50</f>
      </c>
    </row>
    <row r="51" ht="24.75" customHeight="1" spans="1:17" x14ac:dyDescent="0.25">
      <c r="A51" s="41" t="s">
        <v>57</v>
      </c>
      <c r="B51" s="42">
        <v>51083.47</v>
      </c>
      <c r="C51" s="40">
        <v>38867.18</v>
      </c>
      <c r="D51" s="40">
        <v>40827.75</v>
      </c>
      <c r="E51" s="40">
        <v>44922.89</v>
      </c>
      <c r="F51" s="40">
        <v>31969.05</v>
      </c>
      <c r="G51" s="79">
        <v>38484.95</v>
      </c>
      <c r="H51" s="40"/>
      <c r="I51" s="42"/>
      <c r="J51" s="40"/>
      <c r="K51" s="80"/>
      <c r="L51" s="77"/>
      <c r="M51" s="81"/>
      <c r="N51" s="70">
        <f>SUM(B51:M51)</f>
      </c>
      <c r="O51" s="33"/>
      <c r="P51" s="71">
        <f>N51-O51</f>
      </c>
      <c r="Q51" s="72">
        <f>N51/O51</f>
      </c>
    </row>
    <row r="52" ht="24.75" customHeight="1" spans="1:17" x14ac:dyDescent="0.25">
      <c r="A52" s="41" t="s">
        <v>29</v>
      </c>
      <c r="B52" s="42">
        <f>2580.2+3055.2</f>
      </c>
      <c r="C52" s="40">
        <f>1464+1859</f>
      </c>
      <c r="D52" s="40">
        <v>3892.2</v>
      </c>
      <c r="E52" s="40">
        <f>1313.4+1398.8</f>
      </c>
      <c r="F52" s="40">
        <f>1240.2+2453.4</f>
      </c>
      <c r="G52" s="79">
        <f>1440.4+2022.8</f>
      </c>
      <c r="H52" s="40"/>
      <c r="I52" s="42"/>
      <c r="J52" s="40"/>
      <c r="K52" s="80"/>
      <c r="L52" s="77"/>
      <c r="M52" s="81"/>
      <c r="N52" s="70">
        <f>SUM(B52:M52)</f>
      </c>
      <c r="O52" s="33"/>
      <c r="P52" s="71">
        <f>N52-O52</f>
      </c>
      <c r="Q52" s="72">
        <f>N52/O52</f>
      </c>
    </row>
    <row r="53" ht="24.75" customHeight="1" spans="1:17" x14ac:dyDescent="0.25">
      <c r="A53" s="41" t="s">
        <v>30</v>
      </c>
      <c r="B53" s="42">
        <f>4320+2835</f>
      </c>
      <c r="C53" s="40">
        <f>3705.75+2342.25</f>
      </c>
      <c r="D53" s="40">
        <v>5656.5</v>
      </c>
      <c r="E53" s="40">
        <f>2814.75+3510</f>
      </c>
      <c r="F53" s="40">
        <f>4331.5+1208.25</f>
      </c>
      <c r="G53" s="79">
        <f>3618+2970</f>
      </c>
      <c r="H53" s="40"/>
      <c r="I53" s="42"/>
      <c r="J53" s="40"/>
      <c r="K53" s="80"/>
      <c r="L53" s="77"/>
      <c r="M53" s="81"/>
      <c r="N53" s="70">
        <f>SUM(B53:M53)</f>
      </c>
      <c r="O53" s="33"/>
      <c r="P53" s="71">
        <f>N53-O53</f>
      </c>
      <c r="Q53" s="72">
        <f>N53/O53</f>
      </c>
    </row>
    <row r="54" ht="24.75" customHeight="1" spans="1:17" x14ac:dyDescent="0.25">
      <c r="A54" s="85" t="s">
        <v>31</v>
      </c>
      <c r="B54" s="42">
        <v>7759.2</v>
      </c>
      <c r="C54" s="40">
        <v>5893.8</v>
      </c>
      <c r="D54" s="40">
        <v>5343.3</v>
      </c>
      <c r="E54" s="40">
        <v>10020.6</v>
      </c>
      <c r="F54" s="82">
        <v>5639.2</v>
      </c>
      <c r="G54" s="79">
        <v>5905.2</v>
      </c>
      <c r="H54" s="40"/>
      <c r="I54" s="42"/>
      <c r="J54" s="40"/>
      <c r="K54" s="80"/>
      <c r="L54" s="77"/>
      <c r="M54" s="81"/>
      <c r="N54" s="70">
        <f>SUM(B54:M54)</f>
      </c>
      <c r="O54" s="33"/>
      <c r="P54" s="71">
        <f>N54-O54</f>
      </c>
      <c r="Q54" s="72">
        <f>N54/O54</f>
      </c>
    </row>
    <row r="55" ht="24.75" customHeight="1" spans="1:17" x14ac:dyDescent="0.25">
      <c r="A55" s="45" t="s">
        <v>32</v>
      </c>
      <c r="B55" s="42">
        <v>342</v>
      </c>
      <c r="C55" s="40">
        <v>3344.11</v>
      </c>
      <c r="D55" s="40">
        <v>456</v>
      </c>
      <c r="E55" s="40">
        <v>188</v>
      </c>
      <c r="F55" s="40">
        <v>266</v>
      </c>
      <c r="G55" s="79">
        <v>1136.68</v>
      </c>
      <c r="H55" s="40"/>
      <c r="I55" s="42"/>
      <c r="J55" s="40"/>
      <c r="K55" s="80"/>
      <c r="L55" s="77"/>
      <c r="M55" s="81"/>
      <c r="N55" s="70">
        <f>SUM(B55:M55)</f>
      </c>
      <c r="O55" s="33"/>
      <c r="P55" s="71">
        <f>N55-O55</f>
      </c>
      <c r="Q55" s="72">
        <f>N55/O55</f>
      </c>
    </row>
    <row r="56" ht="24.75" customHeight="1" spans="1:17" x14ac:dyDescent="0.25">
      <c r="A56" s="45" t="s">
        <v>33</v>
      </c>
      <c r="B56" s="42">
        <v>13061</v>
      </c>
      <c r="C56" s="40">
        <v>8396.9</v>
      </c>
      <c r="D56" s="40">
        <v>11200</v>
      </c>
      <c r="E56" s="40">
        <v>6205</v>
      </c>
      <c r="F56" s="40">
        <v>9440</v>
      </c>
      <c r="G56" s="79">
        <v>22221.24</v>
      </c>
      <c r="H56" s="40"/>
      <c r="I56" s="42"/>
      <c r="J56" s="40"/>
      <c r="K56" s="80"/>
      <c r="L56" s="77"/>
      <c r="M56" s="81"/>
      <c r="N56" s="70">
        <f>SUM(B56:M56)</f>
      </c>
      <c r="O56" s="33"/>
      <c r="P56" s="71">
        <f>N56-O56</f>
      </c>
      <c r="Q56" s="72">
        <f>N56/O56</f>
      </c>
    </row>
    <row r="57" ht="24.75" customHeight="1" spans="1:17" x14ac:dyDescent="0.25">
      <c r="A57" s="45" t="s">
        <v>34</v>
      </c>
      <c r="B57" s="42">
        <v>175</v>
      </c>
      <c r="C57" s="40">
        <v>297.5</v>
      </c>
      <c r="D57" s="40">
        <v>1540.8</v>
      </c>
      <c r="E57" s="40">
        <v>507.5</v>
      </c>
      <c r="F57" s="40">
        <v>210</v>
      </c>
      <c r="G57" s="79">
        <v>140</v>
      </c>
      <c r="H57" s="40"/>
      <c r="I57" s="42"/>
      <c r="J57" s="40"/>
      <c r="K57" s="40"/>
      <c r="L57" s="77"/>
      <c r="M57" s="81"/>
      <c r="N57" s="70">
        <f>SUM(B57:M57)</f>
      </c>
      <c r="O57" s="48"/>
      <c r="P57" s="86">
        <f>N57-O57</f>
      </c>
      <c r="Q57" s="87">
        <f>N57/O57</f>
      </c>
    </row>
    <row r="58" ht="24.75" customHeight="1" spans="1:17" x14ac:dyDescent="0.25">
      <c r="A58" s="45" t="s">
        <v>35</v>
      </c>
      <c r="B58" s="42">
        <v>19662.5</v>
      </c>
      <c r="C58" s="40">
        <v>24514.15</v>
      </c>
      <c r="D58" s="40">
        <v>20371.6</v>
      </c>
      <c r="E58" s="40">
        <v>19719.58</v>
      </c>
      <c r="F58" s="40">
        <v>16992.5</v>
      </c>
      <c r="G58" s="79">
        <v>14051.65</v>
      </c>
      <c r="H58" s="40"/>
      <c r="I58" s="88"/>
      <c r="J58" s="40"/>
      <c r="K58" s="40"/>
      <c r="L58" s="77"/>
      <c r="M58" s="81"/>
      <c r="N58" s="70">
        <f>SUM(B58:M58)</f>
      </c>
      <c r="O58" s="48"/>
      <c r="P58" s="86"/>
      <c r="Q58" s="87"/>
    </row>
    <row r="59" ht="24.75" customHeight="1" spans="1:17" x14ac:dyDescent="0.25">
      <c r="A59" s="45" t="s">
        <v>36</v>
      </c>
      <c r="B59" s="42">
        <v>9265</v>
      </c>
      <c r="C59" s="40">
        <v>3360</v>
      </c>
      <c r="D59" s="40">
        <v>3601.6</v>
      </c>
      <c r="E59" s="40">
        <v>4556.29</v>
      </c>
      <c r="F59" s="40">
        <v>4372.5</v>
      </c>
      <c r="G59" s="79">
        <v>4790</v>
      </c>
      <c r="H59" s="40"/>
      <c r="I59" s="42"/>
      <c r="J59" s="40"/>
      <c r="K59" s="40"/>
      <c r="L59" s="77"/>
      <c r="M59" s="81"/>
      <c r="N59" s="70">
        <f>SUM(B59:M59)</f>
      </c>
      <c r="O59" s="48"/>
      <c r="P59" s="86"/>
      <c r="Q59" s="87"/>
    </row>
    <row r="60" ht="24.75" customHeight="1" spans="1:17" x14ac:dyDescent="0.25">
      <c r="A60" s="45" t="s">
        <v>37</v>
      </c>
      <c r="B60" s="42">
        <v>7422.5</v>
      </c>
      <c r="C60" s="40">
        <v>6260</v>
      </c>
      <c r="D60" s="40">
        <v>9391.65</v>
      </c>
      <c r="E60" s="40">
        <v>7145</v>
      </c>
      <c r="F60" s="40">
        <v>14852.5</v>
      </c>
      <c r="G60" s="79">
        <v>6130.8</v>
      </c>
      <c r="H60" s="40"/>
      <c r="I60" s="42"/>
      <c r="J60" s="40"/>
      <c r="K60" s="80"/>
      <c r="L60" s="77"/>
      <c r="M60" s="89"/>
      <c r="N60" s="70">
        <f>SUM(B60:M60)</f>
      </c>
      <c r="O60" s="27"/>
      <c r="P60" s="71">
        <f>N60-O60</f>
      </c>
      <c r="Q60" s="26">
        <f>N60/O60</f>
      </c>
    </row>
    <row r="61" ht="24.75" customHeight="1" spans="1:17" x14ac:dyDescent="0.25">
      <c r="A61" s="44" t="s">
        <v>38</v>
      </c>
      <c r="B61" s="38">
        <v>6356</v>
      </c>
      <c r="C61" s="40">
        <v>5196</v>
      </c>
      <c r="D61" s="40">
        <v>5715</v>
      </c>
      <c r="E61" s="40">
        <v>5778</v>
      </c>
      <c r="F61" s="40">
        <v>3434</v>
      </c>
      <c r="G61" s="79">
        <v>4242</v>
      </c>
      <c r="H61" s="40"/>
      <c r="I61" s="42"/>
      <c r="J61" s="40"/>
      <c r="K61" s="80"/>
      <c r="L61" s="77"/>
      <c r="M61" s="81"/>
      <c r="N61" s="70">
        <f>SUM(B61:M61)</f>
      </c>
      <c r="O61" s="27"/>
      <c r="P61" s="71">
        <f>N61-O61</f>
      </c>
      <c r="Q61" s="72">
        <f>N61/O61</f>
      </c>
    </row>
    <row r="62" ht="24.75" customHeight="1" spans="1:17" x14ac:dyDescent="0.25">
      <c r="A62" s="85" t="s">
        <v>39</v>
      </c>
      <c r="B62" s="42">
        <v>6657.75</v>
      </c>
      <c r="C62" s="40">
        <v>4635</v>
      </c>
      <c r="D62" s="40">
        <v>7065</v>
      </c>
      <c r="E62" s="40">
        <v>5940</v>
      </c>
      <c r="F62" s="40">
        <v>3262.5</v>
      </c>
      <c r="G62" s="79">
        <v>5625</v>
      </c>
      <c r="H62" s="40"/>
      <c r="I62" s="42"/>
      <c r="J62" s="40"/>
      <c r="K62" s="80"/>
      <c r="L62" s="77"/>
      <c r="M62" s="81"/>
      <c r="N62" s="70">
        <f>SUM(B62:M62)</f>
      </c>
      <c r="O62" s="27"/>
      <c r="P62" s="71">
        <f>N62-O62</f>
      </c>
      <c r="Q62" s="72">
        <f>N62/O62</f>
      </c>
    </row>
    <row r="63" ht="24.75" customHeight="1" spans="1:17" x14ac:dyDescent="0.25">
      <c r="A63" s="41" t="s">
        <v>40</v>
      </c>
      <c r="B63" s="42">
        <f>750+220</f>
      </c>
      <c r="C63" s="40">
        <f>150+220</f>
      </c>
      <c r="D63" s="40">
        <f>750+220</f>
      </c>
      <c r="E63" s="40">
        <f>1800+440</f>
      </c>
      <c r="F63" s="40">
        <v>2100</v>
      </c>
      <c r="G63" s="79">
        <f>1390+660</f>
      </c>
      <c r="H63" s="40"/>
      <c r="I63" s="42"/>
      <c r="J63" s="40"/>
      <c r="K63" s="80"/>
      <c r="L63" s="77"/>
      <c r="M63" s="81"/>
      <c r="N63" s="70">
        <f>SUM(B63:M63)</f>
      </c>
      <c r="O63" s="33"/>
      <c r="P63" s="71">
        <f>N63-O63</f>
      </c>
      <c r="Q63" s="72">
        <f>N63/O63</f>
      </c>
    </row>
    <row r="64" ht="24.75" customHeight="1" spans="1:17" x14ac:dyDescent="0.25">
      <c r="A64" s="85" t="s">
        <v>41</v>
      </c>
      <c r="B64" s="42">
        <v>2446</v>
      </c>
      <c r="C64" s="40">
        <v>2795.9</v>
      </c>
      <c r="D64" s="40">
        <v>1357.9</v>
      </c>
      <c r="E64" s="40">
        <v>3234.6</v>
      </c>
      <c r="F64" s="82">
        <v>6372.1</v>
      </c>
      <c r="G64" s="79">
        <v>3193</v>
      </c>
      <c r="H64" s="40"/>
      <c r="I64" s="42"/>
      <c r="J64" s="40"/>
      <c r="K64" s="80"/>
      <c r="L64" s="90"/>
      <c r="M64" s="81"/>
      <c r="N64" s="70">
        <f>SUM(B64:M64)</f>
      </c>
      <c r="O64" s="33"/>
      <c r="P64" s="71">
        <f>N64-O64</f>
      </c>
      <c r="Q64" s="72">
        <f>N64/O64</f>
      </c>
    </row>
    <row r="65" ht="24.75" customHeight="1" spans="1:17" x14ac:dyDescent="0.25">
      <c r="A65" s="45" t="s">
        <v>42</v>
      </c>
      <c r="B65" s="91">
        <v>3065</v>
      </c>
      <c r="C65" s="91">
        <v>380</v>
      </c>
      <c r="D65" s="91">
        <v>2883</v>
      </c>
      <c r="E65" s="91">
        <v>2904.55</v>
      </c>
      <c r="F65" s="91">
        <f>1538+375</f>
      </c>
      <c r="G65" s="92">
        <v>4241</v>
      </c>
      <c r="H65" s="91"/>
      <c r="I65" s="91"/>
      <c r="J65" s="93"/>
      <c r="K65" s="94"/>
      <c r="L65" s="77"/>
      <c r="M65" s="95"/>
      <c r="N65" s="70">
        <f>SUM(B65:M65)</f>
      </c>
      <c r="O65" s="48"/>
      <c r="P65" s="71">
        <f>N65-O65</f>
      </c>
      <c r="Q65" s="72">
        <f>N65/O65</f>
      </c>
    </row>
    <row r="66" ht="24.75" customHeight="1" spans="1:17" x14ac:dyDescent="0.25">
      <c r="A66" s="85" t="s">
        <v>44</v>
      </c>
      <c r="B66" s="91">
        <v>5040</v>
      </c>
      <c r="C66" s="91">
        <v>2240</v>
      </c>
      <c r="D66" s="91">
        <v>2800</v>
      </c>
      <c r="E66" s="91">
        <v>3360</v>
      </c>
      <c r="F66" s="96">
        <v>1120</v>
      </c>
      <c r="G66" s="97">
        <v>0</v>
      </c>
      <c r="H66" s="91"/>
      <c r="I66" s="91"/>
      <c r="J66" s="93"/>
      <c r="K66" s="94"/>
      <c r="L66" s="90"/>
      <c r="M66" s="95"/>
      <c r="N66" s="70">
        <f>SUM(B66:M66)</f>
      </c>
      <c r="O66" s="48"/>
      <c r="P66" s="71">
        <f>N66-O66</f>
      </c>
      <c r="Q66" s="72">
        <f>N66/O66</f>
      </c>
    </row>
    <row r="67" ht="24.75" customHeight="1" spans="1:17" x14ac:dyDescent="0.25">
      <c r="A67" s="85" t="s">
        <v>45</v>
      </c>
      <c r="B67" s="91">
        <v>10206</v>
      </c>
      <c r="C67" s="91">
        <v>24008.4</v>
      </c>
      <c r="D67" s="91">
        <v>11874</v>
      </c>
      <c r="E67" s="91">
        <v>10466.4</v>
      </c>
      <c r="F67" s="91">
        <v>6636</v>
      </c>
      <c r="G67" s="92">
        <f>8018.4+1940.4+717.6+727.2</f>
      </c>
      <c r="H67" s="91"/>
      <c r="I67" s="91"/>
      <c r="J67" s="93"/>
      <c r="K67" s="94"/>
      <c r="L67" s="90"/>
      <c r="M67" s="95"/>
      <c r="N67" s="70">
        <f>SUM(B67:M67)</f>
      </c>
      <c r="O67" s="48"/>
      <c r="P67" s="71">
        <f>N67-O67</f>
      </c>
      <c r="Q67" s="72">
        <f>N67/O67</f>
      </c>
    </row>
    <row r="68" ht="24.75" customHeight="1" spans="1:17" x14ac:dyDescent="0.25">
      <c r="A68" s="85" t="s">
        <v>46</v>
      </c>
      <c r="B68" s="91">
        <v>0</v>
      </c>
      <c r="C68" s="91">
        <v>390</v>
      </c>
      <c r="D68" s="91">
        <v>0</v>
      </c>
      <c r="E68" s="91">
        <v>0</v>
      </c>
      <c r="F68" s="91">
        <v>0</v>
      </c>
      <c r="G68" s="92">
        <v>0</v>
      </c>
      <c r="H68" s="91"/>
      <c r="I68" s="91"/>
      <c r="J68" s="93"/>
      <c r="K68" s="94"/>
      <c r="L68" s="90"/>
      <c r="M68" s="95"/>
      <c r="N68" s="70">
        <f>SUM(B68:M68)</f>
      </c>
      <c r="O68" s="48"/>
      <c r="P68" s="71">
        <f>N68-O68</f>
      </c>
      <c r="Q68" s="72">
        <f>N68/O68</f>
      </c>
    </row>
    <row r="69" ht="24.75" customHeight="1" spans="1:17" x14ac:dyDescent="0.25">
      <c r="A69" s="85" t="s">
        <v>47</v>
      </c>
      <c r="B69" s="91"/>
      <c r="C69" s="91"/>
      <c r="D69" s="91"/>
      <c r="E69" s="91"/>
      <c r="F69" s="91"/>
      <c r="G69" s="92"/>
      <c r="H69" s="91"/>
      <c r="I69" s="91"/>
      <c r="J69" s="93"/>
      <c r="K69" s="94"/>
      <c r="L69" s="90"/>
      <c r="M69" s="95"/>
      <c r="N69" s="70">
        <f>SUM(B69:M69)</f>
      </c>
      <c r="O69" s="48"/>
      <c r="P69" s="71">
        <f>N69-O69</f>
      </c>
      <c r="Q69" s="72">
        <f>N69/O69</f>
      </c>
    </row>
    <row r="70" ht="24.75" customHeight="1" spans="1:17" x14ac:dyDescent="0.25">
      <c r="A70" s="85" t="s">
        <v>48</v>
      </c>
      <c r="B70" s="91"/>
      <c r="C70" s="91"/>
      <c r="D70" s="91"/>
      <c r="E70" s="91"/>
      <c r="F70" s="91"/>
      <c r="G70" s="92"/>
      <c r="H70" s="91"/>
      <c r="I70" s="91"/>
      <c r="J70" s="93"/>
      <c r="K70" s="94"/>
      <c r="L70" s="90"/>
      <c r="M70" s="95"/>
      <c r="N70" s="70">
        <f>SUM(B70:M70)</f>
      </c>
      <c r="O70" s="48"/>
      <c r="P70" s="71">
        <f>N70-O70</f>
      </c>
      <c r="Q70" s="72">
        <f>N70/O70</f>
      </c>
    </row>
    <row r="71" ht="24.75" customHeight="1" spans="1:17" x14ac:dyDescent="0.25">
      <c r="A71" s="85" t="s">
        <v>43</v>
      </c>
      <c r="B71" s="91">
        <f>3758+1482</f>
      </c>
      <c r="C71" s="91">
        <f>4256+2380</f>
      </c>
      <c r="D71" s="91">
        <f>7276+1120</f>
      </c>
      <c r="E71" s="91">
        <f>4160+7022</f>
      </c>
      <c r="F71" s="91">
        <v>3545</v>
      </c>
      <c r="G71" s="92">
        <f>5114+3078</f>
      </c>
      <c r="H71" s="91"/>
      <c r="I71" s="91"/>
      <c r="J71" s="93"/>
      <c r="K71" s="94"/>
      <c r="L71" s="77"/>
      <c r="M71" s="95"/>
      <c r="N71" s="70">
        <f>SUM(B71:M71)</f>
      </c>
      <c r="O71" s="48"/>
      <c r="P71" s="71">
        <f>N71-O71</f>
      </c>
      <c r="Q71" s="72">
        <f>N71/O71</f>
      </c>
    </row>
    <row r="72" ht="24.75" customHeight="1" spans="1:17" x14ac:dyDescent="0.25">
      <c r="A72" s="85" t="s">
        <v>49</v>
      </c>
      <c r="B72" s="91">
        <v>17371</v>
      </c>
      <c r="C72" s="91">
        <v>3729</v>
      </c>
      <c r="D72" s="91">
        <v>8568</v>
      </c>
      <c r="E72" s="91">
        <v>7524</v>
      </c>
      <c r="F72" s="91">
        <v>30367.2</v>
      </c>
      <c r="G72" s="98">
        <v>36304</v>
      </c>
      <c r="H72" s="40"/>
      <c r="I72" s="91"/>
      <c r="J72" s="93"/>
      <c r="K72" s="94"/>
      <c r="L72" s="77"/>
      <c r="M72" s="95"/>
      <c r="N72" s="70">
        <f>SUM(B72:M72)</f>
      </c>
      <c r="O72" s="48"/>
      <c r="P72" s="86">
        <f>N72-O72</f>
      </c>
      <c r="Q72" s="72">
        <f>N72/O72</f>
      </c>
    </row>
    <row r="73" ht="24.75" customHeight="1" spans="1:25" x14ac:dyDescent="0.25">
      <c r="A73" s="45" t="s">
        <v>50</v>
      </c>
      <c r="B73" s="91">
        <v>16731</v>
      </c>
      <c r="C73" s="91">
        <v>14356.3</v>
      </c>
      <c r="D73" s="91">
        <v>18706</v>
      </c>
      <c r="E73" s="91">
        <v>17782.5</v>
      </c>
      <c r="F73" s="91">
        <v>11215.5</v>
      </c>
      <c r="G73" s="98">
        <v>61430</v>
      </c>
      <c r="H73" s="93"/>
      <c r="I73" s="91"/>
      <c r="J73" s="93"/>
      <c r="K73" s="94"/>
      <c r="L73" s="77"/>
      <c r="M73" s="95"/>
      <c r="N73" s="70">
        <f>SUM(B73:M73)</f>
      </c>
      <c r="O73" s="48"/>
      <c r="P73" s="86">
        <f>N73-O73</f>
      </c>
      <c r="Q73" s="72">
        <f>N73/O73</f>
      </c>
      <c r="R73" s="3"/>
      <c r="S73" s="3"/>
      <c r="T73" s="3"/>
      <c r="U73" s="3"/>
      <c r="V73" s="3"/>
      <c r="W73" s="3"/>
      <c r="X73" s="3"/>
      <c r="Y73" s="1"/>
    </row>
    <row r="74" ht="24.75" customHeight="1" spans="1:25" x14ac:dyDescent="0.25">
      <c r="A74" s="45" t="s">
        <v>51</v>
      </c>
      <c r="B74" s="91"/>
      <c r="C74" s="91"/>
      <c r="D74" s="91"/>
      <c r="E74" s="91"/>
      <c r="F74" s="91"/>
      <c r="G74" s="98"/>
      <c r="H74" s="93"/>
      <c r="I74" s="91"/>
      <c r="J74" s="93"/>
      <c r="K74" s="94"/>
      <c r="L74" s="77"/>
      <c r="M74" s="95"/>
      <c r="N74" s="70">
        <f>SUM(B74:M74)</f>
      </c>
      <c r="O74" s="48"/>
      <c r="P74" s="86">
        <f>N74-O74</f>
      </c>
      <c r="Q74" s="72">
        <f>N74/O74</f>
      </c>
      <c r="R74" s="3"/>
      <c r="S74" s="3"/>
      <c r="T74" s="3"/>
      <c r="U74" s="3"/>
      <c r="V74" s="3"/>
      <c r="W74" s="3"/>
      <c r="X74" s="3"/>
      <c r="Y74" s="1"/>
    </row>
    <row r="75" ht="24.75" customHeight="1" spans="1:17" x14ac:dyDescent="0.25">
      <c r="A75" s="53" t="s">
        <v>52</v>
      </c>
      <c r="B75" s="99">
        <v>11150</v>
      </c>
      <c r="C75" s="100">
        <v>120</v>
      </c>
      <c r="D75" s="100">
        <v>35</v>
      </c>
      <c r="E75" s="100">
        <v>120</v>
      </c>
      <c r="F75" s="101">
        <v>0</v>
      </c>
      <c r="G75" s="102">
        <f>120+430</f>
      </c>
      <c r="H75" s="100"/>
      <c r="I75" s="99"/>
      <c r="J75" s="100"/>
      <c r="K75" s="103"/>
      <c r="L75" s="104"/>
      <c r="M75" s="105"/>
      <c r="N75" s="53">
        <f>SUM(B75:M75)</f>
      </c>
      <c r="O75" s="106"/>
      <c r="P75" s="107">
        <f>N75-O75</f>
      </c>
      <c r="Q75" s="108">
        <f>N75/O75</f>
      </c>
    </row>
    <row r="76" ht="24.75" customHeight="1" spans="1:17" x14ac:dyDescent="0.25">
      <c r="A76" s="1" t="s">
        <v>58</v>
      </c>
      <c r="B76" s="3">
        <v>800</v>
      </c>
      <c r="C76" s="3">
        <v>754.58</v>
      </c>
      <c r="D76" s="3">
        <v>2350.9700000000003</v>
      </c>
      <c r="E76" s="109">
        <v>4560.5</v>
      </c>
      <c r="F76" s="3">
        <v>7137.07</v>
      </c>
      <c r="G76" s="3">
        <f>1085.81-45.96</f>
      </c>
      <c r="H76" s="3"/>
      <c r="I76" s="109"/>
      <c r="J76" s="3"/>
      <c r="K76" s="52"/>
      <c r="L76" s="77"/>
      <c r="M76" s="3"/>
      <c r="N76" s="1">
        <f>SUM(B76:M76)</f>
      </c>
      <c r="O76" s="1"/>
      <c r="P76" s="110"/>
      <c r="Q76" s="111"/>
    </row>
    <row r="77" ht="24.75" customHeight="1" spans="1:19" x14ac:dyDescent="0.25">
      <c r="A77" s="2"/>
      <c r="B77" s="112">
        <f>SUM(B42:B76)</f>
      </c>
      <c r="C77" s="112">
        <f>SUM(C42:C76)</f>
      </c>
      <c r="D77" s="112">
        <f>SUM(D42:D76)</f>
      </c>
      <c r="E77" s="112">
        <f>SUM(E42:E76)</f>
      </c>
      <c r="F77" s="112">
        <f>SUM(F42:F76)</f>
      </c>
      <c r="G77" s="112">
        <f>SUM(G42:G76)</f>
      </c>
      <c r="H77" s="112">
        <f>SUM(H42:H76)</f>
      </c>
      <c r="I77" s="112">
        <f>SUM(I42:I76)</f>
      </c>
      <c r="J77" s="112">
        <f>SUM(J42:J76)</f>
      </c>
      <c r="K77" s="112">
        <f>SUM(K42:K76)</f>
      </c>
      <c r="L77" s="112">
        <f>SUM(L42:L76)</f>
      </c>
      <c r="M77" s="112">
        <f>SUM(M42:M76)</f>
      </c>
      <c r="N77" s="112">
        <f>SUM(N42:N76)</f>
      </c>
      <c r="O77" s="112">
        <f>SUM(O42:O76)</f>
      </c>
      <c r="P77" s="112">
        <f>SUM(P42:P76)</f>
      </c>
      <c r="Q77" s="113"/>
      <c r="R77" s="3"/>
      <c r="S77" s="3"/>
    </row>
    <row r="78" ht="24.75" customHeight="1" spans="1:25" x14ac:dyDescent="0.25">
      <c r="A78" s="3"/>
      <c r="B78" s="114"/>
      <c r="C78" s="1"/>
      <c r="D78" s="114"/>
      <c r="E78" s="1"/>
      <c r="F78" s="1"/>
      <c r="G78" s="115"/>
      <c r="H78" s="1"/>
      <c r="I78" s="1"/>
      <c r="J78" s="1"/>
      <c r="K78" s="1"/>
      <c r="L78" s="116"/>
      <c r="M78" s="1"/>
      <c r="N78" s="1"/>
      <c r="O78" s="52"/>
      <c r="P78" s="1"/>
      <c r="Q78" s="1"/>
      <c r="R78" s="1"/>
      <c r="S78" s="3"/>
      <c r="T78" s="3"/>
      <c r="U78" s="3"/>
      <c r="V78" s="3"/>
      <c r="W78" s="3"/>
      <c r="X78" s="3"/>
      <c r="Y78" s="3"/>
    </row>
    <row r="79" ht="24.75" customHeight="1" spans="1:25" x14ac:dyDescent="0.25">
      <c r="A79" s="117" t="s">
        <v>59</v>
      </c>
      <c r="B79" s="58" t="s">
        <v>3</v>
      </c>
      <c r="C79" s="16" t="s">
        <v>4</v>
      </c>
      <c r="D79" s="16" t="s">
        <v>5</v>
      </c>
      <c r="E79" s="16" t="s">
        <v>6</v>
      </c>
      <c r="F79" s="16" t="s">
        <v>7</v>
      </c>
      <c r="G79" s="16" t="s">
        <v>8</v>
      </c>
      <c r="H79" s="16" t="s">
        <v>60</v>
      </c>
      <c r="I79" s="16" t="s">
        <v>10</v>
      </c>
      <c r="J79" s="16" t="s">
        <v>11</v>
      </c>
      <c r="K79" s="16" t="s">
        <v>61</v>
      </c>
      <c r="L79" s="16" t="s">
        <v>13</v>
      </c>
      <c r="M79" s="118" t="s">
        <v>14</v>
      </c>
      <c r="N79" s="119" t="s">
        <v>15</v>
      </c>
      <c r="O79" s="3"/>
      <c r="P79" s="3"/>
      <c r="Q79" s="3"/>
      <c r="R79" s="1"/>
      <c r="S79" s="3"/>
      <c r="T79" s="3"/>
      <c r="U79" s="3"/>
      <c r="V79" s="3"/>
      <c r="W79" s="3"/>
      <c r="X79" s="3"/>
      <c r="Y79" s="3"/>
    </row>
    <row r="80" ht="24.75" customHeight="1" spans="1:25" x14ac:dyDescent="0.25">
      <c r="A80" s="70" t="s">
        <v>62</v>
      </c>
      <c r="B80" s="120">
        <v>347457</v>
      </c>
      <c r="C80" s="121">
        <v>292601</v>
      </c>
      <c r="D80" s="121">
        <v>332731</v>
      </c>
      <c r="E80" s="121">
        <v>348211</v>
      </c>
      <c r="F80" s="121">
        <v>312090</v>
      </c>
      <c r="G80" s="121">
        <v>463303</v>
      </c>
      <c r="H80" s="121">
        <v>339410</v>
      </c>
      <c r="I80" s="122">
        <v>304583</v>
      </c>
      <c r="J80" s="122">
        <v>369530</v>
      </c>
      <c r="K80" s="123">
        <v>439368</v>
      </c>
      <c r="L80" s="122">
        <v>465124</v>
      </c>
      <c r="M80" s="124">
        <v>482659</v>
      </c>
      <c r="N80" s="125">
        <f>SUM(B80:M80)</f>
      </c>
      <c r="O80" s="3"/>
      <c r="P80" s="3"/>
      <c r="Q80" s="3"/>
      <c r="R80" s="1"/>
      <c r="S80" s="3"/>
      <c r="T80" s="3"/>
      <c r="U80" s="3"/>
      <c r="V80" s="3"/>
      <c r="W80" s="3"/>
      <c r="X80" s="3"/>
      <c r="Y80" s="3"/>
    </row>
    <row r="81" ht="24.75" customHeight="1" hidden="1" spans="1:25" x14ac:dyDescent="0.25">
      <c r="A81" s="126" t="s">
        <v>63</v>
      </c>
      <c r="B81" s="127">
        <f>B77</f>
      </c>
      <c r="C81" s="128">
        <f>C77</f>
      </c>
      <c r="D81" s="128">
        <f>D77</f>
      </c>
      <c r="E81" s="128">
        <f>E77</f>
      </c>
      <c r="F81" s="128">
        <f>F77</f>
      </c>
      <c r="G81" s="128">
        <f>G77</f>
      </c>
      <c r="H81" s="128">
        <f>H77</f>
      </c>
      <c r="I81" s="128">
        <f>I77</f>
      </c>
      <c r="J81" s="128">
        <f>J77</f>
      </c>
      <c r="K81" s="128">
        <f>K77</f>
      </c>
      <c r="L81" s="128">
        <f>L77</f>
      </c>
      <c r="M81" s="128">
        <f>M77</f>
      </c>
      <c r="N81" s="128">
        <f>N77</f>
      </c>
      <c r="O81" s="129"/>
      <c r="P81" s="3"/>
      <c r="Q81" s="3"/>
      <c r="R81" s="116"/>
      <c r="S81" s="3"/>
      <c r="T81" s="3"/>
      <c r="U81" s="3"/>
      <c r="V81" s="3"/>
      <c r="W81" s="3"/>
      <c r="X81" s="3"/>
      <c r="Y81" s="3"/>
    </row>
    <row r="82" ht="24.75" customHeight="1" hidden="1" spans="1:25" x14ac:dyDescent="0.25">
      <c r="A82" s="70" t="s">
        <v>64</v>
      </c>
      <c r="B82" s="24">
        <f>B81-B80</f>
      </c>
      <c r="C82" s="24">
        <f>C81-C80</f>
      </c>
      <c r="D82" s="24">
        <f>D81-D80</f>
      </c>
      <c r="E82" s="24">
        <f>E81-E80</f>
      </c>
      <c r="F82" s="24">
        <f>F81-F80</f>
      </c>
      <c r="G82" s="24">
        <f>G81-G80</f>
      </c>
      <c r="H82" s="24">
        <f>H81-H80</f>
      </c>
      <c r="I82" s="24">
        <f>I81-I80</f>
      </c>
      <c r="J82" s="24">
        <f>J81-J80</f>
      </c>
      <c r="K82" s="24">
        <f>K81-K80</f>
      </c>
      <c r="L82" s="24">
        <f>L81-L80</f>
      </c>
      <c r="M82" s="24">
        <f>M81-M80</f>
      </c>
      <c r="N82" s="24">
        <f>SUM(B82:M82)</f>
      </c>
      <c r="O82" s="3"/>
      <c r="P82" s="3"/>
      <c r="Q82" s="3"/>
      <c r="R82" s="1"/>
      <c r="S82" s="3"/>
      <c r="T82" s="3"/>
      <c r="U82" s="3"/>
      <c r="V82" s="3"/>
      <c r="W82" s="3"/>
      <c r="X82" s="3"/>
      <c r="Y82" s="3"/>
    </row>
    <row r="83" ht="24.75" customHeight="1" hidden="1" spans="1:25" x14ac:dyDescent="0.25">
      <c r="A83" s="53" t="s">
        <v>65</v>
      </c>
      <c r="B83" s="130">
        <f>B81/B80</f>
      </c>
      <c r="C83" s="131">
        <f>C81/C80</f>
      </c>
      <c r="D83" s="131">
        <f>D81/D80</f>
      </c>
      <c r="E83" s="131">
        <f>E81/E80</f>
      </c>
      <c r="F83" s="131">
        <f>F81/F80</f>
      </c>
      <c r="G83" s="131">
        <f>G81/G80</f>
      </c>
      <c r="H83" s="131">
        <f>H81/H80</f>
      </c>
      <c r="I83" s="131">
        <f>I81/I80</f>
      </c>
      <c r="J83" s="131">
        <f>J81/J80</f>
      </c>
      <c r="K83" s="131">
        <f>K81/K80</f>
      </c>
      <c r="L83" s="131">
        <f>L81/L80</f>
      </c>
      <c r="M83" s="131">
        <f>M81/M80</f>
      </c>
      <c r="N83" s="131">
        <f>N81/N80</f>
      </c>
      <c r="O83" s="3"/>
      <c r="P83" s="3"/>
      <c r="Q83" s="3"/>
      <c r="R83" s="1"/>
      <c r="S83" s="3"/>
      <c r="T83" s="3"/>
      <c r="U83" s="3"/>
      <c r="V83" s="3"/>
      <c r="W83" s="3"/>
      <c r="X83" s="3"/>
      <c r="Y83" s="3"/>
    </row>
    <row r="84" ht="24.75" customHeight="1" hidden="1" spans="1:25" x14ac:dyDescent="0.25">
      <c r="A84" s="1"/>
      <c r="B84" s="1"/>
      <c r="C84" s="132"/>
      <c r="D84" s="1"/>
      <c r="E84" s="114"/>
      <c r="F84" s="1"/>
      <c r="G84" s="2"/>
      <c r="H84" s="1"/>
      <c r="I84" s="1"/>
      <c r="J84" s="1"/>
      <c r="K84" s="1"/>
      <c r="L84" s="1"/>
      <c r="M84" s="1"/>
      <c r="N84" s="1"/>
      <c r="O84" s="3"/>
      <c r="P84" s="3"/>
      <c r="Q84" s="3"/>
      <c r="R84" s="1"/>
      <c r="S84" s="3"/>
      <c r="T84" s="3"/>
      <c r="U84" s="3"/>
      <c r="V84" s="3"/>
      <c r="W84" s="3"/>
      <c r="X84" s="3"/>
      <c r="Y84" s="3"/>
    </row>
    <row r="85" ht="24.75" customHeight="1" hidden="1" spans="1:25" x14ac:dyDescent="0.25">
      <c r="A85" s="1"/>
      <c r="B85" s="1"/>
      <c r="C85" s="132"/>
      <c r="D85" s="1"/>
      <c r="E85" s="114"/>
      <c r="F85" s="1"/>
      <c r="G85" s="2"/>
      <c r="H85" s="1"/>
      <c r="I85" s="1"/>
      <c r="J85" s="1"/>
      <c r="K85" s="1"/>
      <c r="L85" s="1"/>
      <c r="M85" s="1"/>
      <c r="N85" s="1"/>
      <c r="O85" s="3"/>
      <c r="P85" s="3"/>
      <c r="Q85" s="3"/>
      <c r="R85" s="1"/>
      <c r="S85" s="3"/>
      <c r="T85" s="3"/>
      <c r="U85" s="3"/>
      <c r="V85" s="3"/>
      <c r="W85" s="3"/>
      <c r="X85" s="3"/>
      <c r="Y85" s="3"/>
    </row>
    <row r="86" ht="24.75" customHeight="1" hidden="1" spans="1:25" x14ac:dyDescent="0.25">
      <c r="A86" s="1"/>
      <c r="B86" s="1"/>
      <c r="C86" s="132"/>
      <c r="D86" s="1"/>
      <c r="E86" s="114"/>
      <c r="F86" s="1"/>
      <c r="G86" s="2"/>
      <c r="H86" s="1"/>
      <c r="I86" s="1"/>
      <c r="J86" s="1"/>
      <c r="K86" s="1"/>
      <c r="L86" s="1"/>
      <c r="M86" s="1"/>
      <c r="N86" s="1"/>
      <c r="O86" s="3"/>
      <c r="P86" s="3"/>
      <c r="Q86" s="3"/>
      <c r="R86" s="1"/>
      <c r="S86" s="3"/>
      <c r="T86" s="3"/>
      <c r="U86" s="3"/>
      <c r="V86" s="3"/>
      <c r="W86" s="3"/>
      <c r="X86" s="3"/>
      <c r="Y86" s="3"/>
    </row>
    <row r="87" ht="24.75" customHeight="1" hidden="1" spans="1:25" x14ac:dyDescent="0.25">
      <c r="A87" s="133" t="s">
        <v>59</v>
      </c>
      <c r="B87" s="134" t="s">
        <v>3</v>
      </c>
      <c r="C87" s="16" t="s">
        <v>4</v>
      </c>
      <c r="D87" s="16" t="s">
        <v>5</v>
      </c>
      <c r="E87" s="16" t="s">
        <v>6</v>
      </c>
      <c r="F87" s="16" t="s">
        <v>7</v>
      </c>
      <c r="G87" s="16" t="s">
        <v>8</v>
      </c>
      <c r="H87" s="16" t="s">
        <v>60</v>
      </c>
      <c r="I87" s="16" t="s">
        <v>10</v>
      </c>
      <c r="J87" s="16" t="s">
        <v>11</v>
      </c>
      <c r="K87" s="16" t="s">
        <v>61</v>
      </c>
      <c r="L87" s="16" t="s">
        <v>13</v>
      </c>
      <c r="M87" s="135" t="s">
        <v>14</v>
      </c>
      <c r="N87" s="117" t="s">
        <v>15</v>
      </c>
      <c r="O87" s="3"/>
      <c r="P87" s="3"/>
      <c r="Q87" s="3"/>
      <c r="R87" s="1"/>
      <c r="S87" s="3"/>
      <c r="T87" s="3"/>
      <c r="U87" s="3"/>
      <c r="V87" s="3"/>
      <c r="W87" s="3"/>
      <c r="X87" s="3"/>
      <c r="Y87" s="3"/>
    </row>
    <row r="88" ht="24.75" customHeight="1" hidden="1" spans="1:25" x14ac:dyDescent="0.25">
      <c r="A88" s="136" t="s">
        <v>66</v>
      </c>
      <c r="B88" s="137">
        <v>322860</v>
      </c>
      <c r="C88" s="138">
        <v>268004</v>
      </c>
      <c r="D88" s="139">
        <v>308134</v>
      </c>
      <c r="E88" s="139">
        <v>321214</v>
      </c>
      <c r="F88" s="139">
        <v>285093</v>
      </c>
      <c r="G88" s="139">
        <v>436306</v>
      </c>
      <c r="H88" s="139">
        <v>314813</v>
      </c>
      <c r="I88" s="139">
        <v>279986</v>
      </c>
      <c r="J88" s="139">
        <v>340133</v>
      </c>
      <c r="K88" s="139">
        <v>409971</v>
      </c>
      <c r="L88" s="140">
        <v>430927</v>
      </c>
      <c r="M88" s="141">
        <v>448462</v>
      </c>
      <c r="N88" s="142">
        <f>SUM(B88:M88)</f>
      </c>
      <c r="O88" s="3"/>
      <c r="P88" s="3"/>
      <c r="Q88" s="3"/>
      <c r="R88" s="1"/>
      <c r="S88" s="3"/>
      <c r="T88" s="3"/>
      <c r="U88" s="3"/>
      <c r="V88" s="3"/>
      <c r="W88" s="3"/>
      <c r="X88" s="3"/>
      <c r="Y88" s="3"/>
    </row>
    <row r="89" ht="24.75" customHeight="1" hidden="1" spans="1:25" x14ac:dyDescent="0.25">
      <c r="A89" s="143" t="s">
        <v>67</v>
      </c>
      <c r="B89" s="144">
        <v>347457</v>
      </c>
      <c r="C89" s="145">
        <v>292601</v>
      </c>
      <c r="D89" s="146">
        <v>332731</v>
      </c>
      <c r="E89" s="146">
        <v>348211</v>
      </c>
      <c r="F89" s="146">
        <v>312090</v>
      </c>
      <c r="G89" s="146">
        <v>463303</v>
      </c>
      <c r="H89" s="146">
        <v>339410</v>
      </c>
      <c r="I89" s="146">
        <v>304583</v>
      </c>
      <c r="J89" s="146">
        <v>369530</v>
      </c>
      <c r="K89" s="146">
        <v>439368</v>
      </c>
      <c r="L89" s="146">
        <v>465124</v>
      </c>
      <c r="M89" s="147">
        <v>482659</v>
      </c>
      <c r="N89" s="148">
        <f>SUM(B89:M89)</f>
      </c>
      <c r="O89" s="3"/>
      <c r="P89" s="3"/>
      <c r="Q89" s="3"/>
      <c r="R89" s="1"/>
      <c r="S89" s="3"/>
      <c r="T89" s="3"/>
      <c r="U89" s="3"/>
      <c r="V89" s="3"/>
      <c r="W89" s="3"/>
      <c r="X89" s="3"/>
      <c r="Y89" s="3"/>
    </row>
    <row r="90" ht="24.75" customHeight="1" spans="1:25" x14ac:dyDescent="0.25">
      <c r="A90" s="149" t="s">
        <v>68</v>
      </c>
      <c r="B90" s="150">
        <f>B89-B88</f>
      </c>
      <c r="C90" s="151">
        <f>C89-C88</f>
      </c>
      <c r="D90" s="152">
        <f>D89-D88</f>
      </c>
      <c r="E90" s="152">
        <f>E89-E88</f>
      </c>
      <c r="F90" s="152">
        <f>F89-F88</f>
      </c>
      <c r="G90" s="152">
        <f>G89-G88</f>
      </c>
      <c r="H90" s="152">
        <f>H89-H88</f>
      </c>
      <c r="I90" s="152">
        <f>I89-I88</f>
      </c>
      <c r="J90" s="152">
        <f>J89-J88</f>
      </c>
      <c r="K90" s="152">
        <f>K89-K88</f>
      </c>
      <c r="L90" s="152">
        <f>L89-L88</f>
      </c>
      <c r="M90" s="153">
        <f>M89-M88</f>
      </c>
      <c r="N90" s="154">
        <f>SUM(B90:M90)</f>
      </c>
      <c r="O90" s="3"/>
      <c r="P90" s="3"/>
      <c r="Q90" s="3"/>
      <c r="R90" s="1"/>
      <c r="S90" s="3"/>
      <c r="T90" s="3"/>
      <c r="U90" s="3"/>
      <c r="V90" s="3"/>
      <c r="W90" s="3"/>
      <c r="X90" s="3"/>
      <c r="Y90" s="3"/>
    </row>
    <row r="91" ht="24.75" customHeight="1" spans="1:25" x14ac:dyDescent="0.25">
      <c r="A91" s="155" t="s">
        <v>69</v>
      </c>
      <c r="B91" s="156">
        <f>B90/B88</f>
      </c>
      <c r="C91" s="157">
        <f>C90/C88</f>
      </c>
      <c r="D91" s="158">
        <f>D90/D88</f>
      </c>
      <c r="E91" s="158">
        <f>E90/E88</f>
      </c>
      <c r="F91" s="158">
        <f>F90/F88</f>
      </c>
      <c r="G91" s="158">
        <f>G90/G88</f>
      </c>
      <c r="H91" s="158">
        <f>H90/H88</f>
      </c>
      <c r="I91" s="158">
        <f>I90/I88</f>
      </c>
      <c r="J91" s="158">
        <f>J90/J88</f>
      </c>
      <c r="K91" s="158">
        <f>K90/K88</f>
      </c>
      <c r="L91" s="158">
        <f>L90/L88</f>
      </c>
      <c r="M91" s="159">
        <f>M90/M88</f>
      </c>
      <c r="N91" s="160">
        <f>N90/N88</f>
      </c>
      <c r="O91" s="3"/>
      <c r="P91" s="3"/>
      <c r="Q91" s="3"/>
      <c r="R91" s="1"/>
      <c r="S91" s="3"/>
      <c r="T91" s="3"/>
      <c r="U91" s="3"/>
      <c r="V91" s="3"/>
      <c r="W91" s="3"/>
      <c r="X91" s="3"/>
      <c r="Y91" s="3"/>
    </row>
    <row r="92" ht="24.75" customHeight="1" spans="1:25" x14ac:dyDescent="0.25">
      <c r="A92" s="161" t="s">
        <v>63</v>
      </c>
      <c r="B92" s="161">
        <f>B77</f>
      </c>
      <c r="C92" s="162">
        <f>C77</f>
      </c>
      <c r="D92" s="162">
        <f>D77</f>
      </c>
      <c r="E92" s="162">
        <f>E77</f>
      </c>
      <c r="F92" s="162">
        <f>F77</f>
      </c>
      <c r="G92" s="162">
        <f>G77</f>
      </c>
      <c r="H92" s="162">
        <f>H77</f>
      </c>
      <c r="I92" s="162">
        <f>I77</f>
      </c>
      <c r="J92" s="162">
        <f>J77</f>
      </c>
      <c r="K92" s="162">
        <f>K77</f>
      </c>
      <c r="L92" s="162">
        <f>L77</f>
      </c>
      <c r="M92" s="163">
        <f>M77</f>
      </c>
      <c r="N92" s="164">
        <f>N77</f>
      </c>
      <c r="O92" s="3"/>
      <c r="P92" s="3"/>
      <c r="Q92" s="3"/>
      <c r="R92" s="1"/>
      <c r="S92" s="3"/>
      <c r="T92" s="3"/>
      <c r="U92" s="3"/>
      <c r="V92" s="3"/>
      <c r="W92" s="3"/>
      <c r="X92" s="3"/>
      <c r="Y92" s="3"/>
    </row>
    <row r="93" ht="24.75" customHeight="1" spans="1:25" x14ac:dyDescent="0.25">
      <c r="A93" s="165" t="s">
        <v>70</v>
      </c>
      <c r="B93" s="166">
        <f>B92/B88</f>
      </c>
      <c r="C93" s="167">
        <f>C92/C88</f>
      </c>
      <c r="D93" s="168">
        <f>D92/D88</f>
      </c>
      <c r="E93" s="168">
        <f>E92/E88</f>
      </c>
      <c r="F93" s="168">
        <f>F92/F88</f>
      </c>
      <c r="G93" s="168">
        <f>G92/G88</f>
      </c>
      <c r="H93" s="168">
        <f>H92/H88</f>
      </c>
      <c r="I93" s="168">
        <f>I92/I88</f>
      </c>
      <c r="J93" s="168">
        <f>J92/J88</f>
      </c>
      <c r="K93" s="168">
        <f>K92/K88</f>
      </c>
      <c r="L93" s="168">
        <f>L92/L88</f>
      </c>
      <c r="M93" s="169">
        <f>M92/M88</f>
      </c>
      <c r="N93" s="170">
        <f>N92/N88</f>
      </c>
      <c r="O93" s="3"/>
      <c r="P93" s="3"/>
      <c r="Q93" s="3"/>
      <c r="R93" s="1"/>
      <c r="S93" s="3"/>
      <c r="T93" s="3"/>
      <c r="U93" s="3"/>
      <c r="V93" s="3"/>
      <c r="W93" s="3"/>
      <c r="X93" s="3"/>
      <c r="Y93" s="3"/>
    </row>
    <row r="94" ht="24.75" customHeight="1" spans="1:14" x14ac:dyDescent="0.25">
      <c r="A94" s="171" t="s">
        <v>71</v>
      </c>
      <c r="B94" s="172">
        <f>B92/B89</f>
      </c>
      <c r="C94" s="173">
        <f>C92/C89</f>
      </c>
      <c r="D94" s="174">
        <f>D92/D89</f>
      </c>
      <c r="E94" s="174">
        <f>E92/E89</f>
      </c>
      <c r="F94" s="174">
        <f>F92/F89</f>
      </c>
      <c r="G94" s="174">
        <f>G92/G89</f>
      </c>
      <c r="H94" s="174">
        <f>H92/H89</f>
      </c>
      <c r="I94" s="174">
        <f>I92/I89</f>
      </c>
      <c r="J94" s="174">
        <f>J92/J89</f>
      </c>
      <c r="K94" s="174">
        <f>K92/K89</f>
      </c>
      <c r="L94" s="174">
        <f>L92/L89</f>
      </c>
      <c r="M94" s="175">
        <f>M92/M89</f>
      </c>
      <c r="N94" s="176">
        <f>N92/N89</f>
      </c>
    </row>
    <row r="95" ht="24.75" customHeight="1" spans="1:17" x14ac:dyDescent="0.25">
      <c r="A95" s="1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3"/>
      <c r="P95" s="3"/>
      <c r="Q95" s="3"/>
    </row>
    <row r="96" spans="1:17" x14ac:dyDescent="0.25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3"/>
      <c r="P96" s="3"/>
      <c r="Q96" s="3"/>
    </row>
    <row r="97" spans="1:17" x14ac:dyDescent="0.25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3"/>
      <c r="P97" s="3"/>
      <c r="Q97" s="3"/>
    </row>
    <row r="98" spans="1:17" x14ac:dyDescent="0.25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3"/>
      <c r="P98" s="3"/>
      <c r="Q98" s="3"/>
    </row>
    <row r="99" spans="1:17" x14ac:dyDescent="0.25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3"/>
      <c r="P99" s="3"/>
      <c r="Q99" s="3"/>
    </row>
    <row r="100" spans="1:17" x14ac:dyDescent="0.25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3"/>
      <c r="P100" s="3"/>
      <c r="Q100" s="3"/>
    </row>
    <row r="101" spans="1:17" x14ac:dyDescent="0.25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3"/>
      <c r="P101" s="3"/>
      <c r="Q101" s="3"/>
    </row>
    <row r="102" spans="1:17" x14ac:dyDescent="0.25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3"/>
      <c r="P102" s="3"/>
      <c r="Q102" s="3"/>
    </row>
    <row r="103" spans="1:17" x14ac:dyDescent="0.25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3"/>
      <c r="P103" s="3"/>
      <c r="Q103" s="3"/>
    </row>
    <row r="104" spans="1:17" x14ac:dyDescent="0.25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3"/>
      <c r="P104" s="3"/>
      <c r="Q104" s="3"/>
    </row>
    <row r="105" spans="1:17" x14ac:dyDescent="0.2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3"/>
      <c r="P105" s="3"/>
      <c r="Q105" s="3"/>
    </row>
    <row r="106" spans="1:17" x14ac:dyDescent="0.25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3"/>
      <c r="P106" s="3"/>
      <c r="Q106" s="3"/>
    </row>
    <row r="107" spans="1:17" x14ac:dyDescent="0.25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3"/>
      <c r="P107" s="3"/>
      <c r="Q107" s="3"/>
    </row>
    <row r="108" spans="1:17" x14ac:dyDescent="0.25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3"/>
      <c r="P108" s="3"/>
      <c r="Q108" s="3"/>
    </row>
    <row r="109" spans="1:17" x14ac:dyDescent="0.25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3"/>
      <c r="P109" s="3"/>
      <c r="Q109" s="3"/>
    </row>
    <row r="110" spans="1:17" x14ac:dyDescent="0.25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3"/>
      <c r="P110" s="3"/>
      <c r="Q110" s="3"/>
    </row>
  </sheetData>
  <mergeCells count="6">
    <mergeCell ref="A1:Q1"/>
    <mergeCell ref="B3:M3"/>
    <mergeCell ref="B40:G40"/>
    <mergeCell ref="O57:O59"/>
    <mergeCell ref="P57:P59"/>
    <mergeCell ref="Q57:Q59"/>
  </mergeCells>
  <conditionalFormatting sqref="Q5:Q8 Q11:Q37">
    <cfRule type="cellIs" dxfId="0" priority="7" operator="lessThan">
      <formula>#REF!</formula>
    </cfRule>
    <cfRule type="cellIs" dxfId="1" priority="8" operator="greaterThan">
      <formula>#REF!</formula>
    </cfRule>
    <cfRule type="cellIs" dxfId="2" priority="9" operator="greaterThan">
      <formula>#REF!</formula>
    </cfRule>
    <cfRule type="cellIs" dxfId="3" priority="10" operator="lessThan">
      <formula>#REF!</formula>
    </cfRule>
  </conditionalFormatting>
  <conditionalFormatting sqref="Q5:Q37">
    <cfRule type="cellIs" dxfId="4" priority="4" operator="greaterThan">
      <formula>#REF!</formula>
    </cfRule>
  </conditionalFormatting>
  <conditionalFormatting sqref="Q9:Q10">
    <cfRule type="cellIs" dxfId="5" priority="1" operator="greaterThan">
      <formula>#REF!</formula>
    </cfRule>
    <cfRule type="cellIs" dxfId="6" priority="2" operator="lessThan">
      <formula>#REF!</formula>
    </cfRule>
    <cfRule type="cellIs" dxfId="7" priority="3" operator="greaterThan">
      <formula>#REF!</formula>
    </cfRule>
    <cfRule type="cellIs" dxfId="8" priority="5" operator="lessThan">
      <formula>#REF!</formula>
    </cfRule>
  </conditionalFormatting>
  <pageMargins left="1.09" right="0.7" top="0.33" bottom="0.24" header="0.15" footer="0.3"/>
  <pageSetup paperSize="9" orientation="landscape" horizontalDpi="300" verticalDpi="300" scale="5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J13" sqref="J13"/>
    </sheetView>
  </sheetViews>
  <sheetFormatPr defaultRowHeight="13.2" outlineLevelRow="0" outlineLevelCol="0" x14ac:dyDescent="0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T26" sqref="T26"/>
    </sheetView>
  </sheetViews>
  <sheetFormatPr defaultRowHeight="13.2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sales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2020-09-04T01:02:00Z</cp:lastPrinted>
  <dcterms:created xsi:type="dcterms:W3CDTF">2018-01-30T13:53:00Z</dcterms:created>
  <dcterms:modified xsi:type="dcterms:W3CDTF">2026-07-02T04:16:00Z</dcterms:modified>
</cp:coreProperties>
</file>