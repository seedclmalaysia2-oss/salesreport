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029"/>
  <workbookPr/>
  <mc:AlternateContent xmlns:mc="http://schemas.openxmlformats.org/markup-compatibility/2006">
    <mc:Choice Requires="x15">
      <x15ac:absPath xmlns:x15ac="http://schemas.microsoft.com/office/spreadsheetml/2010/11/ac" url="C:\Users\USER\Desktop\ACCOUNTS\SALES SUMMARY\2026\"/>
    </mc:Choice>
  </mc:AlternateContent>
  <xr:revisionPtr revIDLastSave="0" documentId="13_ncr:1_{6B7ADBB9-D683-4CD0-B9CD-4DCB4F691DF1}" xr6:coauthVersionLast="40" xr6:coauthVersionMax="40" xr10:uidLastSave="{00000000-0000-0000-0000-000000000000}"/>
  <bookViews>
    <workbookView xWindow="-120" yWindow="-120" windowWidth="29040" windowHeight="15840" tabRatio="601" xr2:uid="{00000000-000D-0000-FFFF-FFFF00000000}"/>
  </bookViews>
  <sheets>
    <sheet name="monthly sales" sheetId="2" r:id="rId1"/>
    <sheet name="Sheet2" sheetId="4" r:id="rId2"/>
    <sheet name="Sheet1" sheetId="3" r:id="rId3"/>
  </sheets>
  <definedNames>
    <definedName name="_xlnm.Print_Area" localSheetId="0">'monthly sales'!$A$4:$N$77</definedName>
  </definedNames>
  <calcPr calcId="181029"/>
</workbook>
</file>

<file path=xl/calcChain.xml><?xml version="1.0" encoding="utf-8"?>
<calcChain xmlns="http://schemas.openxmlformats.org/spreadsheetml/2006/main">
  <c r="G70" i="2" l="1"/>
  <c r="G66" i="2"/>
  <c r="G50" i="2" l="1"/>
  <c r="G49" i="2"/>
  <c r="G60" i="2"/>
  <c r="G64" i="2"/>
  <c r="G69" i="2"/>
  <c r="G18" i="2"/>
  <c r="G25" i="2"/>
  <c r="G17" i="2"/>
  <c r="G23" i="2"/>
  <c r="G15" i="2"/>
  <c r="G16" i="2"/>
  <c r="G35" i="2"/>
  <c r="G7" i="2"/>
  <c r="G5" i="2"/>
  <c r="G9" i="2"/>
  <c r="M71" i="2" l="1"/>
  <c r="M86" i="2" s="1"/>
  <c r="L71" i="2"/>
  <c r="L86" i="2" s="1"/>
  <c r="K71" i="2"/>
  <c r="J71" i="2"/>
  <c r="I71" i="2"/>
  <c r="H71" i="2"/>
  <c r="H86" i="2" s="1"/>
  <c r="G71" i="2"/>
  <c r="G86" i="2" s="1"/>
  <c r="K86" i="2"/>
  <c r="J86" i="2"/>
  <c r="I86" i="2"/>
  <c r="F86" i="2"/>
  <c r="E86" i="2"/>
  <c r="D86" i="2"/>
  <c r="C86" i="2"/>
  <c r="C87" i="2" s="1"/>
  <c r="B86" i="2"/>
  <c r="B88" i="2" s="1"/>
  <c r="F87" i="2"/>
  <c r="F89" i="2" s="1"/>
  <c r="E87" i="2"/>
  <c r="D87" i="2"/>
  <c r="F88" i="2"/>
  <c r="E88" i="2"/>
  <c r="E89" i="2" s="1"/>
  <c r="D88" i="2"/>
  <c r="E85" i="2"/>
  <c r="M84" i="2"/>
  <c r="M85" i="2" s="1"/>
  <c r="L84" i="2"/>
  <c r="L85" i="2" s="1"/>
  <c r="K84" i="2"/>
  <c r="K85" i="2" s="1"/>
  <c r="J84" i="2"/>
  <c r="J85" i="2" s="1"/>
  <c r="I84" i="2"/>
  <c r="I85" i="2" s="1"/>
  <c r="H84" i="2"/>
  <c r="H85" i="2" s="1"/>
  <c r="G84" i="2"/>
  <c r="G85" i="2" s="1"/>
  <c r="F84" i="2"/>
  <c r="F85" i="2" s="1"/>
  <c r="E84" i="2"/>
  <c r="D84" i="2"/>
  <c r="D85" i="2" s="1"/>
  <c r="C84" i="2"/>
  <c r="C85" i="2" s="1"/>
  <c r="B84" i="2"/>
  <c r="B85" i="2" s="1"/>
  <c r="N83" i="2"/>
  <c r="D89" i="2" l="1"/>
  <c r="N84" i="2"/>
  <c r="C88" i="2"/>
  <c r="C89" i="2" s="1"/>
  <c r="B87" i="2"/>
  <c r="B89" i="2" s="1"/>
  <c r="N82" i="2"/>
  <c r="N85" i="2" l="1"/>
  <c r="F62" i="2"/>
  <c r="F50" i="2"/>
  <c r="F49" i="2"/>
  <c r="F71" i="2" s="1"/>
  <c r="F75" i="2" s="1"/>
  <c r="F24" i="2"/>
  <c r="F16" i="2"/>
  <c r="F15" i="2"/>
  <c r="F19" i="2" l="1"/>
  <c r="F23" i="2"/>
  <c r="F7" i="2"/>
  <c r="F5" i="2"/>
  <c r="F9" i="2"/>
  <c r="E60" i="2" l="1"/>
  <c r="E66" i="2"/>
  <c r="E50" i="2"/>
  <c r="E49" i="2"/>
  <c r="E9" i="2"/>
  <c r="E29" i="2"/>
  <c r="E19" i="2"/>
  <c r="E23" i="2"/>
  <c r="E15" i="2"/>
  <c r="E16" i="2"/>
  <c r="E14" i="2"/>
  <c r="E7" i="2"/>
  <c r="E10" i="2"/>
  <c r="E6" i="2"/>
  <c r="D66" i="2" l="1"/>
  <c r="D60" i="2"/>
  <c r="D19" i="2"/>
  <c r="D17" i="2"/>
  <c r="D15" i="2"/>
  <c r="D16" i="2"/>
  <c r="D14" i="2"/>
  <c r="D7" i="2"/>
  <c r="D5" i="2"/>
  <c r="D10" i="2"/>
  <c r="N65" i="2" l="1"/>
  <c r="C66" i="2"/>
  <c r="C60" i="2"/>
  <c r="N64" i="2"/>
  <c r="C50" i="2"/>
  <c r="C49" i="2"/>
  <c r="N31" i="2"/>
  <c r="N32" i="2"/>
  <c r="C29" i="2"/>
  <c r="C19" i="2"/>
  <c r="C18" i="2"/>
  <c r="C24" i="2"/>
  <c r="C17" i="2"/>
  <c r="C23" i="2"/>
  <c r="C15" i="2"/>
  <c r="C16" i="2"/>
  <c r="C14" i="2"/>
  <c r="N67" i="2"/>
  <c r="B66" i="2"/>
  <c r="B60" i="2"/>
  <c r="B50" i="2"/>
  <c r="B49" i="2"/>
  <c r="B24" i="2"/>
  <c r="B17" i="2"/>
  <c r="B23" i="2"/>
  <c r="B15" i="2"/>
  <c r="B16" i="2"/>
  <c r="B14" i="2"/>
  <c r="B12" i="2"/>
  <c r="B11" i="2"/>
  <c r="B7" i="2"/>
  <c r="B10" i="2"/>
  <c r="B9" i="2"/>
  <c r="N66" i="2" l="1"/>
  <c r="L75" i="2"/>
  <c r="M75" i="2"/>
  <c r="K75" i="2" l="1"/>
  <c r="N60" i="2" l="1"/>
  <c r="N59" i="2"/>
  <c r="N25" i="2" l="1"/>
  <c r="N26" i="2"/>
  <c r="N27" i="2"/>
  <c r="H75" i="2" l="1"/>
  <c r="N58" i="2" l="1"/>
  <c r="N24" i="2"/>
  <c r="Q58" i="2" l="1"/>
  <c r="P58" i="2"/>
  <c r="Q24" i="2"/>
  <c r="P24" i="2"/>
  <c r="L77" i="2" l="1"/>
  <c r="L76" i="2"/>
  <c r="I36" i="2"/>
  <c r="L87" i="2" l="1"/>
  <c r="L88" i="2"/>
  <c r="G36" i="2"/>
  <c r="L89" i="2" l="1"/>
  <c r="N49" i="2"/>
  <c r="P49" i="2" s="1"/>
  <c r="N16" i="2"/>
  <c r="P16" i="2" s="1"/>
  <c r="Q49" i="2" l="1"/>
  <c r="Q16" i="2"/>
  <c r="N57" i="2" l="1"/>
  <c r="P57" i="2" s="1"/>
  <c r="N23" i="2"/>
  <c r="Q23" i="2" s="1"/>
  <c r="P23" i="2" l="1"/>
  <c r="N52" i="2" l="1"/>
  <c r="N53" i="2"/>
  <c r="N20" i="2"/>
  <c r="N18" i="2"/>
  <c r="N19" i="2"/>
  <c r="P52" i="2" l="1"/>
  <c r="Q52" i="2"/>
  <c r="P20" i="2"/>
  <c r="Q20" i="2"/>
  <c r="Q18" i="2"/>
  <c r="P18" i="2"/>
  <c r="P19" i="2"/>
  <c r="Q19" i="2"/>
  <c r="N34" i="2"/>
  <c r="N33" i="2"/>
  <c r="P33" i="2" s="1"/>
  <c r="N30" i="2"/>
  <c r="P30" i="2" s="1"/>
  <c r="N29" i="2"/>
  <c r="P29" i="2" s="1"/>
  <c r="N28" i="2"/>
  <c r="P28" i="2" s="1"/>
  <c r="P26" i="2"/>
  <c r="N22" i="2"/>
  <c r="N21" i="2"/>
  <c r="N13" i="2"/>
  <c r="N12" i="2"/>
  <c r="N11" i="2"/>
  <c r="N10" i="2"/>
  <c r="Q21" i="2" l="1"/>
  <c r="P21" i="2"/>
  <c r="Q22" i="2"/>
  <c r="P22" i="2"/>
  <c r="Q26" i="2"/>
  <c r="Q34" i="2"/>
  <c r="P34" i="2"/>
  <c r="P27" i="2"/>
  <c r="Q27" i="2"/>
  <c r="N6" i="2"/>
  <c r="N17" i="2" l="1"/>
  <c r="N56" i="2" l="1"/>
  <c r="N55" i="2"/>
  <c r="C71" i="2" l="1"/>
  <c r="C75" i="2" s="1"/>
  <c r="C76" i="2" l="1"/>
  <c r="C77" i="2"/>
  <c r="N14" i="2"/>
  <c r="N15" i="2"/>
  <c r="N7" i="2"/>
  <c r="N9" i="2"/>
  <c r="N8" i="2"/>
  <c r="N40" i="2" l="1"/>
  <c r="N54" i="2"/>
  <c r="N61" i="2"/>
  <c r="N62" i="2"/>
  <c r="N63" i="2"/>
  <c r="N68" i="2"/>
  <c r="P54" i="2" l="1"/>
  <c r="Q54" i="2"/>
  <c r="Q68" i="2"/>
  <c r="P68" i="2"/>
  <c r="Q53" i="2"/>
  <c r="P53" i="2"/>
  <c r="O71" i="2"/>
  <c r="P40" i="2"/>
  <c r="Q40" i="2"/>
  <c r="Q6" i="2"/>
  <c r="P6" i="2"/>
  <c r="Q33" i="2" l="1"/>
  <c r="P10" i="2" l="1"/>
  <c r="N44" i="2"/>
  <c r="Q67" i="2" l="1"/>
  <c r="P67" i="2"/>
  <c r="Q44" i="2"/>
  <c r="P44" i="2"/>
  <c r="Q10" i="2"/>
  <c r="D71" i="2" l="1"/>
  <c r="N70" i="2"/>
  <c r="P7" i="2"/>
  <c r="N50" i="2"/>
  <c r="N74" i="2"/>
  <c r="J75" i="2"/>
  <c r="I75" i="2"/>
  <c r="G75" i="2"/>
  <c r="E71" i="2"/>
  <c r="E75" i="2" s="1"/>
  <c r="N69" i="2"/>
  <c r="P69" i="2" s="1"/>
  <c r="Q66" i="2"/>
  <c r="Q62" i="2"/>
  <c r="Q61" i="2"/>
  <c r="N48" i="2"/>
  <c r="N47" i="2"/>
  <c r="N46" i="2"/>
  <c r="N45" i="2"/>
  <c r="Q45" i="2" s="1"/>
  <c r="N43" i="2"/>
  <c r="P43" i="2" s="1"/>
  <c r="N42" i="2"/>
  <c r="N41" i="2"/>
  <c r="Q41" i="2" s="1"/>
  <c r="N39" i="2"/>
  <c r="P39" i="2" s="1"/>
  <c r="O36" i="2"/>
  <c r="L36" i="2"/>
  <c r="K36" i="2"/>
  <c r="J36" i="2"/>
  <c r="H36" i="2"/>
  <c r="F36" i="2"/>
  <c r="E36" i="2"/>
  <c r="B36" i="2"/>
  <c r="Q30" i="2"/>
  <c r="Q28" i="2"/>
  <c r="Q13" i="2"/>
  <c r="Q12" i="2"/>
  <c r="P11" i="2"/>
  <c r="Q9" i="2"/>
  <c r="P8" i="2"/>
  <c r="N5" i="2"/>
  <c r="P5" i="2" s="1"/>
  <c r="D75" i="2" l="1"/>
  <c r="D77" i="2" s="1"/>
  <c r="Q42" i="2"/>
  <c r="Q47" i="2"/>
  <c r="J77" i="2"/>
  <c r="G76" i="2"/>
  <c r="G77" i="2"/>
  <c r="H77" i="2"/>
  <c r="H76" i="2"/>
  <c r="F76" i="2"/>
  <c r="F77" i="2"/>
  <c r="K77" i="2"/>
  <c r="K76" i="2"/>
  <c r="M76" i="2"/>
  <c r="M77" i="2"/>
  <c r="I76" i="2"/>
  <c r="I77" i="2"/>
  <c r="E77" i="2"/>
  <c r="Q50" i="2"/>
  <c r="P50" i="2"/>
  <c r="Q48" i="2"/>
  <c r="P48" i="2"/>
  <c r="Q15" i="2"/>
  <c r="P15" i="2"/>
  <c r="Q14" i="2"/>
  <c r="P14" i="2"/>
  <c r="Q17" i="2"/>
  <c r="P17" i="2"/>
  <c r="P63" i="2"/>
  <c r="Q63" i="2"/>
  <c r="P46" i="2"/>
  <c r="Q46" i="2"/>
  <c r="C36" i="2"/>
  <c r="P61" i="2"/>
  <c r="N51" i="2"/>
  <c r="N71" i="2" s="1"/>
  <c r="N86" i="2" s="1"/>
  <c r="Q7" i="2"/>
  <c r="P9" i="2"/>
  <c r="Q11" i="2"/>
  <c r="Q69" i="2"/>
  <c r="P47" i="2"/>
  <c r="Q43" i="2"/>
  <c r="Q8" i="2"/>
  <c r="P41" i="2"/>
  <c r="P45" i="2"/>
  <c r="P62" i="2"/>
  <c r="B71" i="2"/>
  <c r="B75" i="2" s="1"/>
  <c r="Q60" i="2"/>
  <c r="P12" i="2"/>
  <c r="Q29" i="2"/>
  <c r="P42" i="2"/>
  <c r="Q5" i="2"/>
  <c r="P13" i="2"/>
  <c r="Q39" i="2"/>
  <c r="P66" i="2"/>
  <c r="G87" i="2" l="1"/>
  <c r="G88" i="2"/>
  <c r="K87" i="2"/>
  <c r="K88" i="2"/>
  <c r="H88" i="2"/>
  <c r="H87" i="2"/>
  <c r="H89" i="2" s="1"/>
  <c r="J87" i="2"/>
  <c r="J88" i="2"/>
  <c r="I87" i="2"/>
  <c r="I88" i="2"/>
  <c r="M87" i="2"/>
  <c r="M88" i="2"/>
  <c r="D76" i="2"/>
  <c r="N75" i="2"/>
  <c r="J76" i="2"/>
  <c r="B77" i="2"/>
  <c r="B76" i="2"/>
  <c r="E76" i="2"/>
  <c r="P51" i="2"/>
  <c r="Q51" i="2"/>
  <c r="P60" i="2"/>
  <c r="D36" i="2"/>
  <c r="I89" i="2" l="1"/>
  <c r="M89" i="2"/>
  <c r="K89" i="2"/>
  <c r="J89" i="2"/>
  <c r="G89" i="2"/>
  <c r="N87" i="2"/>
  <c r="N88" i="2"/>
  <c r="N77" i="2"/>
  <c r="P71" i="2"/>
  <c r="N76" i="2"/>
  <c r="N89" i="2" l="1"/>
  <c r="M36" i="2"/>
  <c r="N35" i="2"/>
  <c r="Q35" i="2" s="1"/>
  <c r="N36" i="2" l="1"/>
  <c r="Q36" i="2" s="1"/>
  <c r="P35" i="2"/>
  <c r="P3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admin</author>
    <author>User</author>
  </authors>
  <commentList>
    <comment ref="B69" authorId="0" shapeId="0" xr:uid="{5AB77FFE-BD66-4004-A17A-06BE9AE91D44}">
      <text>
        <r>
          <rPr>
            <b/>
            <sz val="9"/>
            <color indexed="81"/>
            <rFont val="Tahoma"/>
            <family val="2"/>
          </rPr>
          <t>VUZIX Blade2 Prescription+ SEVA Software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70" authorId="1" shapeId="0" xr:uid="{00000000-0006-0000-0000-000002000000}">
      <text>
        <r>
          <rPr>
            <b/>
            <sz val="9"/>
            <rFont val="Tahoma"/>
            <family val="2"/>
          </rPr>
          <t>Service and courier charge</t>
        </r>
      </text>
    </comment>
    <comment ref="C70" authorId="2" shapeId="0" xr:uid="{5AF1A1F3-7DFD-4C08-956D-79D34D437C4D}">
      <text>
        <r>
          <rPr>
            <b/>
            <sz val="9"/>
            <color indexed="81"/>
            <rFont val="Tahoma"/>
            <family val="2"/>
          </rPr>
          <t>Service and courier charge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0" authorId="0" shapeId="0" xr:uid="{BFF5E2B8-B767-4D43-A968-0214439B3E41}">
      <text>
        <r>
          <rPr>
            <b/>
            <sz val="9"/>
            <color indexed="81"/>
            <rFont val="Tahoma"/>
            <family val="2"/>
          </rPr>
          <t xml:space="preserve">Service and courier charge
</t>
        </r>
      </text>
    </comment>
    <comment ref="E70" authorId="0" shapeId="0" xr:uid="{60A88B13-AF8D-408F-9A50-4623AE24A84C}">
      <text>
        <r>
          <rPr>
            <b/>
            <sz val="9"/>
            <color indexed="81"/>
            <rFont val="Tahoma"/>
            <family val="2"/>
          </rPr>
          <t xml:space="preserve">Service and courier charge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70" authorId="0" shapeId="0" xr:uid="{961EB120-FEBC-47EB-A39F-0FE303BD0E3E}">
      <text>
        <r>
          <rPr>
            <b/>
            <sz val="9"/>
            <color indexed="81"/>
            <rFont val="Tahoma"/>
            <family val="2"/>
          </rPr>
          <t xml:space="preserve">Service and courier charge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70" authorId="0" shapeId="0" xr:uid="{69096C0D-20E8-4ED0-8BA1-BCF81C5CB855}">
      <text>
        <r>
          <rPr>
            <b/>
            <sz val="9"/>
            <color indexed="81"/>
            <rFont val="Tahoma"/>
            <family val="2"/>
          </rPr>
          <t>Service and courier charge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<sst xmlns="http://schemas.openxmlformats.org/spreadsheetml/2006/main" count="140" uniqueCount="69">
  <si>
    <t>SALES QUANTITY</t>
  </si>
  <si>
    <t>Product / Month</t>
  </si>
  <si>
    <t>JAN</t>
  </si>
  <si>
    <t>FEB</t>
  </si>
  <si>
    <t>MAR</t>
  </si>
  <si>
    <t>APR</t>
  </si>
  <si>
    <t xml:space="preserve">MAY </t>
  </si>
  <si>
    <t>JUN</t>
  </si>
  <si>
    <t>JUL</t>
  </si>
  <si>
    <t>AUG</t>
  </si>
  <si>
    <t>SEPT</t>
  </si>
  <si>
    <t>OCT</t>
  </si>
  <si>
    <t>NOV</t>
  </si>
  <si>
    <t>DEC</t>
  </si>
  <si>
    <t>TOTAL</t>
  </si>
  <si>
    <t>TARGET</t>
  </si>
  <si>
    <t>BALANCE</t>
  </si>
  <si>
    <t>ACC%</t>
  </si>
  <si>
    <t xml:space="preserve"> 1 DAY PURE</t>
  </si>
  <si>
    <t>1 DAY PURE ASTIGMATISM</t>
  </si>
  <si>
    <t>1 DAY MULSTISTAGE</t>
  </si>
  <si>
    <t>1 DAYPURE EDOF</t>
  </si>
  <si>
    <t>2 WEEK PURE MULTISTAGE</t>
  </si>
  <si>
    <t>2 WEEK PURE UP TORIC</t>
  </si>
  <si>
    <t>2 WEEK PURE UP</t>
  </si>
  <si>
    <t>EYE COFFRET-M</t>
  </si>
  <si>
    <t>RGP UV-1 / UV-1 KC</t>
  </si>
  <si>
    <t>IRIS LENS</t>
  </si>
  <si>
    <t xml:space="preserve">ULTRA VISION </t>
  </si>
  <si>
    <t>BREATH O CORRECT</t>
  </si>
  <si>
    <t>ACCESSORIES/OTHERS</t>
  </si>
  <si>
    <t>Total</t>
  </si>
  <si>
    <t xml:space="preserve">SALES AMOUNT </t>
  </si>
  <si>
    <t>Product/ Month</t>
  </si>
  <si>
    <t>JULY</t>
  </si>
  <si>
    <t>1 DAY PURE MULSTISTAGE</t>
  </si>
  <si>
    <t xml:space="preserve">EYE COFFRET-M </t>
  </si>
  <si>
    <t>OTHER INCOME</t>
  </si>
  <si>
    <t xml:space="preserve">MONTHLY </t>
  </si>
  <si>
    <t>0CT</t>
  </si>
  <si>
    <t>Jpn Sales Target</t>
  </si>
  <si>
    <t>Msia Sales</t>
  </si>
  <si>
    <t>Balance</t>
  </si>
  <si>
    <t>ACC %</t>
  </si>
  <si>
    <t>1 DAY VIEW SUPPORT</t>
  </si>
  <si>
    <t xml:space="preserve"> 1 DAY PURE SILFA</t>
  </si>
  <si>
    <t>MONTHLY FINE PLUS</t>
  </si>
  <si>
    <t>DISOP ULTRA EYEDROP</t>
  </si>
  <si>
    <t>MONTHLY COLOR UV - PEGAVISION</t>
  </si>
  <si>
    <t>MONTHLY COLOR UV - BLUE</t>
  </si>
  <si>
    <t>MONTHLY COLOR UV - ORANGE</t>
  </si>
  <si>
    <t>MONTHLY PURE6</t>
  </si>
  <si>
    <t>MONTHLY PURE3</t>
  </si>
  <si>
    <t>MONTHLY COLOR UV  II</t>
  </si>
  <si>
    <t>EYE COFFRET-M 30 TORIC</t>
  </si>
  <si>
    <t>EYE COFFRET-M 10 TORIC</t>
  </si>
  <si>
    <t>MINASOFT 1DAY COLOR UV</t>
  </si>
  <si>
    <t>MINASOFT CARE UV</t>
  </si>
  <si>
    <t xml:space="preserve">RGP AS-LUNA/O2 NOAH </t>
  </si>
  <si>
    <t>DISOP H2O2 SOLUTION</t>
  </si>
  <si>
    <t>SEED MALAYSIA JAN - JAN ~DEC 2026 SALES REPORT</t>
  </si>
  <si>
    <t>BREATH O CORRECT (OVERSEAS)</t>
  </si>
  <si>
    <t>Wohlk KE RGP</t>
  </si>
  <si>
    <t>Original Sales Target</t>
  </si>
  <si>
    <t>Revised Sales Target</t>
  </si>
  <si>
    <t>Sales Target Variance</t>
  </si>
  <si>
    <t>Sales Target Variance %</t>
  </si>
  <si>
    <t>ACC % vs Original</t>
  </si>
  <si>
    <t>ACC % vs Revised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</si>
</sst>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&quot;RM&quot;* #,##0.00_);_(&quot;RM&quot;* \(#,##0.00\);_(&quot;RM&quot;* &quot;-&quot;??_);_(@_)"/>
    <numFmt numFmtId="167" formatCode="_-* #,##0_-;\-* #,##0_-;_-* &quot;-&quot;??_-;_-@_-"/>
  </numFmts>
  <fonts count="20">
    <font>
      <sz val="10"/>
      <name val="Arial"/>
      <charset val="1"/>
    </font>
    <font>
      <sz val="12"/>
      <name val="Calibri"/>
      <family val="2"/>
    </font>
    <font>
      <b/>
      <sz val="12"/>
      <name val="Calibri"/>
      <family val="2"/>
    </font>
    <font>
      <sz val="26"/>
      <name val="Calibri"/>
      <family val="2"/>
    </font>
    <font>
      <sz val="12"/>
      <color indexed="8"/>
      <name val="Calibri"/>
      <family val="2"/>
    </font>
    <font>
      <b/>
      <sz val="12"/>
      <color rgb="FFFF0000"/>
      <name val="Calibri"/>
      <family val="2"/>
    </font>
    <font>
      <b/>
      <sz val="11"/>
      <name val="ＭＳ Ｐゴシック"/>
      <charset val="128"/>
    </font>
    <font>
      <sz val="11"/>
      <name val="Calibri"/>
      <family val="2"/>
    </font>
    <font>
      <b/>
      <sz val="12"/>
      <color theme="9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ＭＳ Ｐゴシック"/>
      <charset val="128"/>
    </font>
    <font>
      <b/>
      <sz val="9"/>
      <name val="Tahoma"/>
      <family val="2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  <scheme val="minor"/>
    </font>
    <font>
      <sz val="12"/>
      <color rgb="FFFF0000"/>
      <name val="Calibri"/>
      <family val="2"/>
    </font>
    <font>
      <sz val="12"/>
      <color theme="9"/>
      <name val="Calibr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dashed">
        <color theme="1" tint="0.34998626667073579"/>
      </left>
      <right style="thin">
        <color indexed="64"/>
      </right>
      <top style="dashed">
        <color theme="1" tint="0.34998626667073579"/>
      </top>
      <bottom style="dashed">
        <color theme="1" tint="0.34998626667073579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auto="1"/>
      </right>
      <top style="dashed">
        <color theme="1" tint="0.34998626667073579"/>
      </top>
      <bottom style="dashed">
        <color theme="1" tint="0.34998626667073579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auto="1"/>
      </top>
      <bottom style="hair">
        <color indexed="64"/>
      </bottom>
      <diagonal/>
    </border>
    <border>
      <left style="medium">
        <color indexed="64"/>
      </left>
      <right/>
      <top style="double">
        <color auto="1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indexed="64"/>
      </bottom>
      <diagonal/>
    </border>
    <border>
      <left/>
      <right style="thin">
        <color indexed="64"/>
      </right>
      <top style="double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hair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dashed">
        <color theme="1" tint="0.34998626667073579"/>
      </left>
      <right/>
      <top style="medium">
        <color auto="1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double">
        <color auto="1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medium">
        <color auto="1"/>
      </right>
      <top style="hair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</borders>
  <cellStyleXfs count="6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0" fillId="0" borderId="0"/>
    <xf numFmtId="0" fontId="11" fillId="0" borderId="0">
      <alignment vertical="center"/>
    </xf>
    <xf numFmtId="166" fontId="10" fillId="0" borderId="0" applyFont="0" applyFill="0" applyBorder="0" applyAlignment="0" applyProtection="0"/>
  </cellStyleXfs>
  <cellXfs count="202">
    <xf numFmtId="0" fontId="0" fillId="0" borderId="0" xfId="0"/>
    <xf numFmtId="165" fontId="1" fillId="0" borderId="0" xfId="1" applyNumberFormat="1" applyFont="1" applyAlignment="1">
      <alignment horizontal="center" vertical="center"/>
    </xf>
    <xf numFmtId="165" fontId="1" fillId="0" borderId="0" xfId="1" applyNumberFormat="1" applyFont="1" applyFill="1" applyAlignment="1">
      <alignment horizontal="center" vertical="center"/>
    </xf>
    <xf numFmtId="165" fontId="2" fillId="0" borderId="0" xfId="1" applyNumberFormat="1" applyFont="1" applyFill="1" applyAlignment="1">
      <alignment horizontal="center" vertical="center"/>
    </xf>
    <xf numFmtId="165" fontId="1" fillId="0" borderId="0" xfId="1" applyNumberFormat="1" applyFont="1" applyAlignment="1">
      <alignment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4" xfId="1" applyNumberFormat="1" applyFont="1" applyFill="1" applyBorder="1" applyAlignment="1">
      <alignment horizontal="center" vertical="center"/>
    </xf>
    <xf numFmtId="165" fontId="2" fillId="0" borderId="6" xfId="1" applyNumberFormat="1" applyFont="1" applyFill="1" applyBorder="1" applyAlignment="1">
      <alignment horizontal="center" vertical="center"/>
    </xf>
    <xf numFmtId="165" fontId="4" fillId="0" borderId="7" xfId="1" applyNumberFormat="1" applyFont="1" applyBorder="1" applyAlignment="1">
      <alignment horizontal="center" vertical="center"/>
    </xf>
    <xf numFmtId="165" fontId="1" fillId="0" borderId="9" xfId="1" applyNumberFormat="1" applyFont="1" applyFill="1" applyBorder="1" applyAlignment="1">
      <alignment horizontal="center" vertical="center"/>
    </xf>
    <xf numFmtId="165" fontId="4" fillId="0" borderId="10" xfId="1" applyNumberFormat="1" applyFont="1" applyBorder="1" applyAlignment="1">
      <alignment horizontal="center" vertical="center"/>
    </xf>
    <xf numFmtId="165" fontId="1" fillId="0" borderId="12" xfId="1" applyNumberFormat="1" applyFont="1" applyFill="1" applyBorder="1" applyAlignment="1">
      <alignment horizontal="center" vertical="center"/>
    </xf>
    <xf numFmtId="165" fontId="1" fillId="0" borderId="12" xfId="1" applyNumberFormat="1" applyFont="1" applyFill="1" applyBorder="1" applyAlignment="1">
      <alignment vertical="center"/>
    </xf>
    <xf numFmtId="165" fontId="1" fillId="0" borderId="10" xfId="1" applyNumberFormat="1" applyFont="1" applyFill="1" applyBorder="1" applyAlignment="1">
      <alignment horizontal="center" vertical="center"/>
    </xf>
    <xf numFmtId="165" fontId="1" fillId="0" borderId="13" xfId="1" applyNumberFormat="1" applyFont="1" applyFill="1" applyBorder="1" applyAlignment="1">
      <alignment horizontal="center" vertical="center"/>
    </xf>
    <xf numFmtId="165" fontId="4" fillId="0" borderId="13" xfId="1" applyNumberFormat="1" applyFont="1" applyBorder="1" applyAlignment="1">
      <alignment horizontal="center" vertical="center"/>
    </xf>
    <xf numFmtId="165" fontId="1" fillId="0" borderId="15" xfId="1" applyNumberFormat="1" applyFont="1" applyFill="1" applyBorder="1" applyAlignment="1">
      <alignment horizontal="center" vertical="center"/>
    </xf>
    <xf numFmtId="165" fontId="1" fillId="0" borderId="16" xfId="1" applyNumberFormat="1" applyFont="1" applyFill="1" applyBorder="1" applyAlignment="1">
      <alignment horizontal="center" vertical="center"/>
    </xf>
    <xf numFmtId="165" fontId="1" fillId="0" borderId="17" xfId="1" applyNumberFormat="1" applyFont="1" applyFill="1" applyBorder="1" applyAlignment="1">
      <alignment horizontal="center" vertical="center"/>
    </xf>
    <xf numFmtId="165" fontId="1" fillId="0" borderId="19" xfId="1" applyNumberFormat="1" applyFont="1" applyFill="1" applyBorder="1" applyAlignment="1">
      <alignment horizontal="center" vertical="center"/>
    </xf>
    <xf numFmtId="165" fontId="4" fillId="0" borderId="21" xfId="1" applyNumberFormat="1" applyFont="1" applyBorder="1" applyAlignment="1">
      <alignment horizontal="center" vertical="center"/>
    </xf>
    <xf numFmtId="165" fontId="1" fillId="0" borderId="9" xfId="1" applyNumberFormat="1" applyFont="1" applyFill="1" applyBorder="1" applyAlignment="1">
      <alignment vertical="center"/>
    </xf>
    <xf numFmtId="165" fontId="1" fillId="0" borderId="23" xfId="1" applyNumberFormat="1" applyFont="1" applyFill="1" applyBorder="1" applyAlignment="1">
      <alignment vertical="center"/>
    </xf>
    <xf numFmtId="165" fontId="4" fillId="0" borderId="24" xfId="1" applyNumberFormat="1" applyFont="1" applyBorder="1" applyAlignment="1">
      <alignment horizontal="center" vertical="center"/>
    </xf>
    <xf numFmtId="165" fontId="1" fillId="0" borderId="26" xfId="1" applyNumberFormat="1" applyFont="1" applyFill="1" applyBorder="1" applyAlignment="1">
      <alignment vertical="center"/>
    </xf>
    <xf numFmtId="165" fontId="1" fillId="0" borderId="24" xfId="1" applyNumberFormat="1" applyFont="1" applyFill="1" applyBorder="1" applyAlignment="1">
      <alignment horizontal="center" vertical="center"/>
    </xf>
    <xf numFmtId="165" fontId="1" fillId="0" borderId="27" xfId="1" applyNumberFormat="1" applyFont="1" applyFill="1" applyBorder="1" applyAlignment="1">
      <alignment vertical="center"/>
    </xf>
    <xf numFmtId="165" fontId="1" fillId="0" borderId="19" xfId="1" applyNumberFormat="1" applyFont="1" applyFill="1" applyBorder="1" applyAlignment="1">
      <alignment vertical="center"/>
    </xf>
    <xf numFmtId="165" fontId="1" fillId="0" borderId="29" xfId="1" applyNumberFormat="1" applyFont="1" applyFill="1" applyBorder="1" applyAlignment="1">
      <alignment vertical="center"/>
    </xf>
    <xf numFmtId="165" fontId="2" fillId="0" borderId="0" xfId="1" applyNumberFormat="1" applyFont="1" applyAlignment="1">
      <alignment horizontal="center" vertical="center"/>
    </xf>
    <xf numFmtId="165" fontId="2" fillId="0" borderId="30" xfId="1" applyNumberFormat="1" applyFont="1" applyFill="1" applyBorder="1" applyAlignment="1">
      <alignment vertical="center"/>
    </xf>
    <xf numFmtId="165" fontId="1" fillId="0" borderId="2" xfId="1" applyNumberFormat="1" applyFont="1" applyBorder="1" applyAlignment="1">
      <alignment horizontal="center" vertical="center"/>
    </xf>
    <xf numFmtId="165" fontId="2" fillId="0" borderId="31" xfId="1" applyNumberFormat="1" applyFont="1" applyFill="1" applyBorder="1" applyAlignment="1">
      <alignment horizontal="center" vertical="center"/>
    </xf>
    <xf numFmtId="165" fontId="2" fillId="0" borderId="32" xfId="1" applyNumberFormat="1" applyFont="1" applyFill="1" applyBorder="1" applyAlignment="1">
      <alignment horizontal="center" vertical="center"/>
    </xf>
    <xf numFmtId="165" fontId="1" fillId="0" borderId="21" xfId="1" applyNumberFormat="1" applyFont="1" applyBorder="1" applyAlignment="1">
      <alignment horizontal="center" vertical="center"/>
    </xf>
    <xf numFmtId="165" fontId="1" fillId="0" borderId="33" xfId="1" applyNumberFormat="1" applyFont="1" applyFill="1" applyBorder="1" applyAlignment="1">
      <alignment horizontal="center" vertical="center"/>
    </xf>
    <xf numFmtId="165" fontId="1" fillId="0" borderId="34" xfId="1" applyNumberFormat="1" applyFont="1" applyFill="1" applyBorder="1" applyAlignment="1">
      <alignment horizontal="center" vertical="center"/>
    </xf>
    <xf numFmtId="165" fontId="1" fillId="0" borderId="36" xfId="1" applyNumberFormat="1" applyFont="1" applyBorder="1" applyAlignment="1">
      <alignment horizontal="center" vertical="center"/>
    </xf>
    <xf numFmtId="165" fontId="1" fillId="0" borderId="37" xfId="1" applyNumberFormat="1" applyFont="1" applyFill="1" applyBorder="1" applyAlignment="1">
      <alignment horizontal="center" vertical="center"/>
    </xf>
    <xf numFmtId="165" fontId="1" fillId="0" borderId="38" xfId="1" applyNumberFormat="1" applyFont="1" applyFill="1" applyBorder="1" applyAlignment="1">
      <alignment horizontal="center" vertical="center"/>
    </xf>
    <xf numFmtId="165" fontId="1" fillId="0" borderId="17" xfId="1" applyNumberFormat="1" applyFont="1" applyBorder="1" applyAlignment="1">
      <alignment horizontal="center" vertical="center"/>
    </xf>
    <xf numFmtId="9" fontId="1" fillId="0" borderId="0" xfId="2" applyFont="1" applyFill="1" applyAlignment="1">
      <alignment horizontal="center" vertical="center"/>
    </xf>
    <xf numFmtId="164" fontId="1" fillId="0" borderId="0" xfId="1" applyFont="1" applyFill="1" applyAlignment="1">
      <alignment horizontal="center" vertical="center"/>
    </xf>
    <xf numFmtId="165" fontId="2" fillId="0" borderId="39" xfId="1" applyNumberFormat="1" applyFont="1" applyBorder="1" applyAlignment="1">
      <alignment horizontal="center" vertical="center"/>
    </xf>
    <xf numFmtId="165" fontId="2" fillId="0" borderId="32" xfId="1" applyNumberFormat="1" applyFont="1" applyBorder="1" applyAlignment="1">
      <alignment horizontal="center" vertical="center"/>
    </xf>
    <xf numFmtId="165" fontId="2" fillId="0" borderId="42" xfId="1" applyNumberFormat="1" applyFont="1" applyBorder="1" applyAlignment="1">
      <alignment horizontal="center" vertical="center"/>
    </xf>
    <xf numFmtId="165" fontId="2" fillId="0" borderId="34" xfId="1" applyNumberFormat="1" applyFont="1" applyBorder="1" applyAlignment="1">
      <alignment horizontal="center" vertical="center"/>
    </xf>
    <xf numFmtId="165" fontId="2" fillId="0" borderId="24" xfId="1" applyNumberFormat="1" applyFont="1" applyBorder="1" applyAlignment="1">
      <alignment horizontal="center" vertical="center"/>
    </xf>
    <xf numFmtId="165" fontId="1" fillId="0" borderId="25" xfId="1" applyNumberFormat="1" applyFont="1" applyFill="1" applyBorder="1" applyAlignment="1">
      <alignment horizontal="center" vertical="center"/>
    </xf>
    <xf numFmtId="165" fontId="1" fillId="0" borderId="11" xfId="1" applyNumberFormat="1" applyFont="1" applyFill="1" applyBorder="1" applyAlignment="1">
      <alignment vertical="center"/>
    </xf>
    <xf numFmtId="165" fontId="2" fillId="0" borderId="33" xfId="1" applyNumberFormat="1" applyFont="1" applyBorder="1" applyAlignment="1">
      <alignment horizontal="center" vertical="center"/>
    </xf>
    <xf numFmtId="165" fontId="1" fillId="0" borderId="27" xfId="1" applyNumberFormat="1" applyFont="1" applyFill="1" applyBorder="1" applyAlignment="1">
      <alignment horizontal="center" vertical="center"/>
    </xf>
    <xf numFmtId="165" fontId="2" fillId="0" borderId="39" xfId="1" applyNumberFormat="1" applyFont="1" applyFill="1" applyBorder="1" applyAlignment="1">
      <alignment horizontal="center" vertical="center"/>
    </xf>
    <xf numFmtId="165" fontId="1" fillId="0" borderId="22" xfId="1" applyNumberFormat="1" applyFont="1" applyFill="1" applyBorder="1" applyAlignment="1">
      <alignment vertical="center"/>
    </xf>
    <xf numFmtId="165" fontId="1" fillId="0" borderId="11" xfId="1" applyNumberFormat="1" applyFont="1" applyFill="1" applyBorder="1" applyAlignment="1">
      <alignment horizontal="center" vertical="center"/>
    </xf>
    <xf numFmtId="165" fontId="5" fillId="0" borderId="12" xfId="1" applyNumberFormat="1" applyFont="1" applyBorder="1" applyAlignment="1">
      <alignment horizontal="center" vertical="center"/>
    </xf>
    <xf numFmtId="165" fontId="1" fillId="0" borderId="25" xfId="1" applyNumberFormat="1" applyFont="1" applyFill="1" applyBorder="1" applyAlignment="1">
      <alignment vertical="center"/>
    </xf>
    <xf numFmtId="165" fontId="1" fillId="0" borderId="50" xfId="1" applyNumberFormat="1" applyFont="1" applyFill="1" applyBorder="1" applyAlignment="1">
      <alignment vertical="center"/>
    </xf>
    <xf numFmtId="165" fontId="1" fillId="0" borderId="28" xfId="1" applyNumberFormat="1" applyFont="1" applyFill="1" applyBorder="1" applyAlignment="1">
      <alignment vertical="center"/>
    </xf>
    <xf numFmtId="165" fontId="5" fillId="0" borderId="19" xfId="1" applyNumberFormat="1" applyFont="1" applyBorder="1" applyAlignment="1">
      <alignment horizontal="center" vertical="center"/>
    </xf>
    <xf numFmtId="165" fontId="2" fillId="0" borderId="30" xfId="1" applyNumberFormat="1" applyFont="1" applyBorder="1" applyAlignment="1">
      <alignment vertical="center"/>
    </xf>
    <xf numFmtId="165" fontId="2" fillId="0" borderId="53" xfId="1" applyNumberFormat="1" applyFont="1" applyFill="1" applyBorder="1" applyAlignment="1">
      <alignment horizontal="center" vertical="center"/>
    </xf>
    <xf numFmtId="165" fontId="1" fillId="0" borderId="53" xfId="1" applyNumberFormat="1" applyFont="1" applyBorder="1" applyAlignment="1">
      <alignment horizontal="center" vertical="center"/>
    </xf>
    <xf numFmtId="165" fontId="1" fillId="0" borderId="38" xfId="1" applyNumberFormat="1" applyFont="1" applyBorder="1" applyAlignment="1">
      <alignment horizontal="center" vertical="center"/>
    </xf>
    <xf numFmtId="165" fontId="1" fillId="0" borderId="33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5" fontId="7" fillId="0" borderId="0" xfId="1" applyNumberFormat="1" applyFont="1" applyAlignment="1">
      <alignment vertical="center"/>
    </xf>
    <xf numFmtId="165" fontId="8" fillId="0" borderId="53" xfId="1" applyNumberFormat="1" applyFont="1" applyBorder="1" applyAlignment="1">
      <alignment horizontal="center" vertical="center"/>
    </xf>
    <xf numFmtId="9" fontId="8" fillId="0" borderId="54" xfId="2" applyFont="1" applyBorder="1" applyAlignment="1">
      <alignment horizontal="center" vertical="center"/>
    </xf>
    <xf numFmtId="9" fontId="8" fillId="0" borderId="53" xfId="2" applyFont="1" applyBorder="1" applyAlignment="1">
      <alignment horizontal="center" vertical="center"/>
    </xf>
    <xf numFmtId="9" fontId="8" fillId="0" borderId="43" xfId="2" applyFont="1" applyBorder="1" applyAlignment="1">
      <alignment horizontal="center" vertical="center"/>
    </xf>
    <xf numFmtId="9" fontId="8" fillId="0" borderId="46" xfId="2" applyFont="1" applyBorder="1" applyAlignment="1">
      <alignment horizontal="center" vertical="center"/>
    </xf>
    <xf numFmtId="165" fontId="8" fillId="0" borderId="0" xfId="1" applyNumberFormat="1" applyFont="1" applyAlignment="1">
      <alignment horizontal="center" vertical="center"/>
    </xf>
    <xf numFmtId="165" fontId="7" fillId="0" borderId="0" xfId="1" applyNumberFormat="1" applyFont="1" applyAlignment="1">
      <alignment horizontal="center" vertical="center"/>
    </xf>
    <xf numFmtId="165" fontId="1" fillId="0" borderId="14" xfId="1" applyNumberFormat="1" applyFont="1" applyFill="1" applyBorder="1" applyAlignment="1">
      <alignment horizontal="center" vertical="center"/>
    </xf>
    <xf numFmtId="165" fontId="5" fillId="0" borderId="15" xfId="1" applyNumberFormat="1" applyFont="1" applyBorder="1" applyAlignment="1">
      <alignment horizontal="center" vertical="center"/>
    </xf>
    <xf numFmtId="164" fontId="2" fillId="0" borderId="0" xfId="1" applyFont="1" applyFill="1" applyAlignment="1">
      <alignment horizontal="center" vertical="center"/>
    </xf>
    <xf numFmtId="165" fontId="1" fillId="0" borderId="15" xfId="1" applyNumberFormat="1" applyFont="1" applyFill="1" applyBorder="1" applyAlignment="1">
      <alignment vertical="center"/>
    </xf>
    <xf numFmtId="165" fontId="1" fillId="0" borderId="34" xfId="1" applyNumberFormat="1" applyFont="1" applyFill="1" applyBorder="1" applyAlignment="1">
      <alignment vertical="center"/>
    </xf>
    <xf numFmtId="165" fontId="1" fillId="0" borderId="35" xfId="1" applyNumberFormat="1" applyFont="1" applyFill="1" applyBorder="1" applyAlignment="1">
      <alignment vertical="center"/>
    </xf>
    <xf numFmtId="165" fontId="1" fillId="0" borderId="0" xfId="1" applyNumberFormat="1" applyFont="1" applyFill="1" applyAlignment="1">
      <alignment vertical="center"/>
    </xf>
    <xf numFmtId="165" fontId="2" fillId="0" borderId="40" xfId="1" applyNumberFormat="1" applyFont="1" applyFill="1" applyBorder="1" applyAlignment="1">
      <alignment horizontal="center" vertical="center"/>
    </xf>
    <xf numFmtId="165" fontId="2" fillId="0" borderId="19" xfId="1" applyNumberFormat="1" applyFont="1" applyFill="1" applyBorder="1" applyAlignment="1">
      <alignment horizontal="center" vertical="center"/>
    </xf>
    <xf numFmtId="164" fontId="1" fillId="0" borderId="0" xfId="1" applyFont="1" applyFill="1" applyAlignment="1">
      <alignment vertical="center"/>
    </xf>
    <xf numFmtId="10" fontId="1" fillId="0" borderId="28" xfId="2" applyNumberFormat="1" applyFont="1" applyFill="1" applyBorder="1" applyAlignment="1">
      <alignment vertical="center"/>
    </xf>
    <xf numFmtId="9" fontId="1" fillId="0" borderId="0" xfId="2" applyFont="1" applyFill="1" applyAlignment="1">
      <alignment vertical="center"/>
    </xf>
    <xf numFmtId="165" fontId="1" fillId="0" borderId="44" xfId="1" applyNumberFormat="1" applyFont="1" applyFill="1" applyBorder="1" applyAlignment="1">
      <alignment horizontal="center" vertical="center"/>
    </xf>
    <xf numFmtId="3" fontId="1" fillId="0" borderId="34" xfId="1" applyNumberFormat="1" applyFont="1" applyFill="1" applyBorder="1" applyAlignment="1">
      <alignment vertical="center"/>
    </xf>
    <xf numFmtId="165" fontId="4" fillId="0" borderId="10" xfId="1" applyNumberFormat="1" applyFont="1" applyFill="1" applyBorder="1" applyAlignment="1">
      <alignment horizontal="center" vertical="center"/>
    </xf>
    <xf numFmtId="164" fontId="1" fillId="0" borderId="0" xfId="1" applyFont="1" applyAlignment="1">
      <alignment vertical="center"/>
    </xf>
    <xf numFmtId="10" fontId="1" fillId="0" borderId="18" xfId="2" applyNumberFormat="1" applyFont="1" applyFill="1" applyBorder="1" applyAlignment="1">
      <alignment vertical="center"/>
    </xf>
    <xf numFmtId="165" fontId="2" fillId="0" borderId="2" xfId="1" applyNumberFormat="1" applyFont="1" applyFill="1" applyBorder="1" applyAlignment="1">
      <alignment horizontal="center" vertical="center"/>
    </xf>
    <xf numFmtId="165" fontId="1" fillId="0" borderId="33" xfId="1" applyNumberFormat="1" applyFont="1" applyFill="1" applyBorder="1" applyAlignment="1">
      <alignment vertical="center"/>
    </xf>
    <xf numFmtId="164" fontId="1" fillId="0" borderId="25" xfId="1" applyFont="1" applyFill="1" applyBorder="1" applyAlignment="1">
      <alignment vertical="center"/>
    </xf>
    <xf numFmtId="43" fontId="1" fillId="0" borderId="0" xfId="1" applyNumberFormat="1" applyFont="1" applyAlignment="1">
      <alignment horizontal="center" vertical="center"/>
    </xf>
    <xf numFmtId="165" fontId="1" fillId="0" borderId="0" xfId="2" applyNumberFormat="1" applyFont="1" applyAlignment="1">
      <alignment vertical="center"/>
    </xf>
    <xf numFmtId="167" fontId="1" fillId="0" borderId="12" xfId="1" applyNumberFormat="1" applyFont="1" applyFill="1" applyBorder="1" applyAlignment="1">
      <alignment vertical="center"/>
    </xf>
    <xf numFmtId="43" fontId="1" fillId="0" borderId="0" xfId="1" applyNumberFormat="1" applyFont="1" applyFill="1" applyAlignment="1">
      <alignment horizontal="center" vertical="center"/>
    </xf>
    <xf numFmtId="165" fontId="2" fillId="0" borderId="47" xfId="1" applyNumberFormat="1" applyFont="1" applyFill="1" applyBorder="1" applyAlignment="1">
      <alignment horizontal="center" vertical="center"/>
    </xf>
    <xf numFmtId="3" fontId="1" fillId="0" borderId="9" xfId="1" applyNumberFormat="1" applyFont="1" applyFill="1" applyBorder="1" applyAlignment="1">
      <alignment vertical="center"/>
    </xf>
    <xf numFmtId="4" fontId="1" fillId="0" borderId="34" xfId="1" applyNumberFormat="1" applyFont="1" applyFill="1" applyBorder="1" applyAlignment="1">
      <alignment vertical="center"/>
    </xf>
    <xf numFmtId="3" fontId="1" fillId="0" borderId="19" xfId="1" applyNumberFormat="1" applyFont="1" applyFill="1" applyBorder="1" applyAlignment="1">
      <alignment vertical="center"/>
    </xf>
    <xf numFmtId="165" fontId="1" fillId="0" borderId="41" xfId="1" applyNumberFormat="1" applyFont="1" applyFill="1" applyBorder="1" applyAlignment="1">
      <alignment horizontal="center" vertical="center"/>
    </xf>
    <xf numFmtId="165" fontId="1" fillId="0" borderId="54" xfId="1" applyNumberFormat="1" applyFont="1" applyFill="1" applyBorder="1" applyAlignment="1">
      <alignment horizontal="center" vertical="center"/>
    </xf>
    <xf numFmtId="165" fontId="1" fillId="0" borderId="43" xfId="1" applyNumberFormat="1" applyFont="1" applyFill="1" applyBorder="1" applyAlignment="1">
      <alignment horizontal="center" vertical="center"/>
    </xf>
    <xf numFmtId="165" fontId="1" fillId="0" borderId="45" xfId="1" applyNumberFormat="1" applyFont="1" applyFill="1" applyBorder="1" applyAlignment="1">
      <alignment horizontal="center" vertical="center"/>
    </xf>
    <xf numFmtId="165" fontId="1" fillId="0" borderId="46" xfId="1" applyNumberFormat="1" applyFont="1" applyFill="1" applyBorder="1" applyAlignment="1">
      <alignment horizontal="center" vertical="center"/>
    </xf>
    <xf numFmtId="165" fontId="1" fillId="0" borderId="48" xfId="1" applyNumberFormat="1" applyFont="1" applyFill="1" applyBorder="1" applyAlignment="1">
      <alignment vertical="center"/>
    </xf>
    <xf numFmtId="165" fontId="1" fillId="0" borderId="55" xfId="1" applyNumberFormat="1" applyFont="1" applyFill="1" applyBorder="1" applyAlignment="1">
      <alignment vertical="center"/>
    </xf>
    <xf numFmtId="165" fontId="1" fillId="0" borderId="49" xfId="1" applyNumberFormat="1" applyFont="1" applyFill="1" applyBorder="1" applyAlignment="1">
      <alignment vertical="center"/>
    </xf>
    <xf numFmtId="167" fontId="1" fillId="0" borderId="49" xfId="1" applyNumberFormat="1" applyFont="1" applyFill="1" applyBorder="1" applyAlignment="1">
      <alignment vertical="center"/>
    </xf>
    <xf numFmtId="164" fontId="1" fillId="0" borderId="49" xfId="1" applyFont="1" applyFill="1" applyBorder="1" applyAlignment="1">
      <alignment vertical="center"/>
    </xf>
    <xf numFmtId="165" fontId="1" fillId="0" borderId="51" xfId="1" applyNumberFormat="1" applyFont="1" applyFill="1" applyBorder="1" applyAlignment="1">
      <alignment vertical="center"/>
    </xf>
    <xf numFmtId="165" fontId="1" fillId="0" borderId="52" xfId="1" applyNumberFormat="1" applyFont="1" applyFill="1" applyBorder="1" applyAlignment="1">
      <alignment vertical="center"/>
    </xf>
    <xf numFmtId="165" fontId="1" fillId="2" borderId="27" xfId="1" applyNumberFormat="1" applyFont="1" applyFill="1" applyBorder="1" applyAlignment="1">
      <alignment vertical="center"/>
    </xf>
    <xf numFmtId="3" fontId="1" fillId="0" borderId="0" xfId="1" applyNumberFormat="1" applyFont="1" applyFill="1" applyAlignment="1">
      <alignment vertical="center"/>
    </xf>
    <xf numFmtId="165" fontId="17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2" fillId="0" borderId="3" xfId="1" applyNumberFormat="1" applyFont="1" applyFill="1" applyBorder="1" applyAlignment="1">
      <alignment horizontal="center" vertical="center"/>
    </xf>
    <xf numFmtId="165" fontId="1" fillId="0" borderId="8" xfId="1" applyNumberFormat="1" applyFont="1" applyFill="1" applyBorder="1" applyAlignment="1">
      <alignment horizontal="center" vertical="center"/>
    </xf>
    <xf numFmtId="165" fontId="1" fillId="0" borderId="18" xfId="1" applyNumberFormat="1" applyFont="1" applyFill="1" applyBorder="1" applyAlignment="1">
      <alignment horizontal="center" vertical="center"/>
    </xf>
    <xf numFmtId="165" fontId="2" fillId="0" borderId="20" xfId="1" applyNumberFormat="1" applyFont="1" applyFill="1" applyBorder="1" applyAlignment="1">
      <alignment horizontal="center" vertical="center"/>
    </xf>
    <xf numFmtId="165" fontId="1" fillId="2" borderId="9" xfId="1" applyNumberFormat="1" applyFont="1" applyFill="1" applyBorder="1" applyAlignment="1">
      <alignment horizontal="center" vertical="center"/>
    </xf>
    <xf numFmtId="165" fontId="1" fillId="2" borderId="34" xfId="1" applyNumberFormat="1" applyFont="1" applyFill="1" applyBorder="1" applyAlignment="1">
      <alignment horizontal="center" vertical="center"/>
    </xf>
    <xf numFmtId="165" fontId="1" fillId="2" borderId="12" xfId="1" applyNumberFormat="1" applyFont="1" applyFill="1" applyBorder="1" applyAlignment="1">
      <alignment horizontal="center" vertical="center"/>
    </xf>
    <xf numFmtId="165" fontId="1" fillId="2" borderId="15" xfId="1" applyNumberFormat="1" applyFont="1" applyFill="1" applyBorder="1" applyAlignment="1">
      <alignment horizontal="center" vertical="center"/>
    </xf>
    <xf numFmtId="165" fontId="1" fillId="2" borderId="19" xfId="1" applyNumberFormat="1" applyFont="1" applyFill="1" applyBorder="1" applyAlignment="1">
      <alignment horizontal="center" vertical="center"/>
    </xf>
    <xf numFmtId="165" fontId="1" fillId="2" borderId="12" xfId="1" applyNumberFormat="1" applyFont="1" applyFill="1" applyBorder="1" applyAlignment="1">
      <alignment vertical="center"/>
    </xf>
    <xf numFmtId="164" fontId="1" fillId="0" borderId="0" xfId="1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horizontal="center" vertical="center"/>
    </xf>
    <xf numFmtId="165" fontId="1" fillId="0" borderId="22" xfId="1" applyNumberFormat="1" applyFont="1" applyBorder="1" applyAlignment="1">
      <alignment horizontal="center" vertical="center"/>
    </xf>
    <xf numFmtId="167" fontId="1" fillId="0" borderId="8" xfId="1" applyNumberFormat="1" applyFont="1" applyFill="1" applyBorder="1" applyAlignment="1">
      <alignment horizontal="center" vertical="center"/>
    </xf>
    <xf numFmtId="167" fontId="1" fillId="0" borderId="9" xfId="1" applyNumberFormat="1" applyFont="1" applyFill="1" applyBorder="1" applyAlignment="1">
      <alignment horizontal="center" vertical="center"/>
    </xf>
    <xf numFmtId="167" fontId="13" fillId="0" borderId="9" xfId="1" applyNumberFormat="1" applyFont="1" applyFill="1" applyBorder="1" applyAlignment="1">
      <alignment vertical="center"/>
    </xf>
    <xf numFmtId="167" fontId="16" fillId="0" borderId="9" xfId="1" applyNumberFormat="1" applyFont="1" applyFill="1" applyBorder="1" applyAlignment="1">
      <alignment vertical="center"/>
    </xf>
    <xf numFmtId="167" fontId="13" fillId="0" borderId="41" xfId="1" applyNumberFormat="1" applyFont="1" applyFill="1" applyBorder="1" applyAlignment="1">
      <alignment vertical="center"/>
    </xf>
    <xf numFmtId="165" fontId="2" fillId="3" borderId="21" xfId="1" applyNumberFormat="1" applyFont="1" applyFill="1" applyBorder="1" applyAlignment="1">
      <alignment horizontal="center" vertical="center"/>
    </xf>
    <xf numFmtId="167" fontId="16" fillId="3" borderId="59" xfId="1" applyNumberFormat="1" applyFont="1" applyFill="1" applyBorder="1" applyAlignment="1">
      <alignment horizontal="left" vertical="center" readingOrder="1"/>
    </xf>
    <xf numFmtId="167" fontId="16" fillId="3" borderId="61" xfId="1" applyNumberFormat="1" applyFont="1" applyFill="1" applyBorder="1" applyAlignment="1">
      <alignment horizontal="left" vertical="center" readingOrder="1"/>
    </xf>
    <xf numFmtId="10" fontId="1" fillId="3" borderId="64" xfId="2" applyNumberFormat="1" applyFont="1" applyFill="1" applyBorder="1" applyAlignment="1">
      <alignment vertical="center"/>
    </xf>
    <xf numFmtId="10" fontId="1" fillId="3" borderId="67" xfId="2" applyNumberFormat="1" applyFont="1" applyFill="1" applyBorder="1" applyAlignment="1">
      <alignment vertical="center"/>
    </xf>
    <xf numFmtId="10" fontId="1" fillId="3" borderId="63" xfId="2" applyNumberFormat="1" applyFont="1" applyFill="1" applyBorder="1" applyAlignment="1">
      <alignment vertical="center"/>
    </xf>
    <xf numFmtId="167" fontId="16" fillId="3" borderId="68" xfId="1" applyNumberFormat="1" applyFont="1" applyFill="1" applyBorder="1" applyAlignment="1">
      <alignment horizontal="left" vertical="center" readingOrder="1"/>
    </xf>
    <xf numFmtId="167" fontId="16" fillId="3" borderId="57" xfId="1" applyNumberFormat="1" applyFont="1" applyFill="1" applyBorder="1" applyAlignment="1">
      <alignment horizontal="left" vertical="center" readingOrder="1"/>
    </xf>
    <xf numFmtId="10" fontId="1" fillId="3" borderId="70" xfId="2" applyNumberFormat="1" applyFont="1" applyFill="1" applyBorder="1" applyAlignment="1">
      <alignment vertical="center"/>
    </xf>
    <xf numFmtId="10" fontId="1" fillId="3" borderId="72" xfId="2" applyNumberFormat="1" applyFont="1" applyFill="1" applyBorder="1" applyAlignment="1">
      <alignment vertical="center"/>
    </xf>
    <xf numFmtId="10" fontId="1" fillId="3" borderId="73" xfId="2" applyNumberFormat="1" applyFont="1" applyFill="1" applyBorder="1" applyAlignment="1">
      <alignment vertical="center"/>
    </xf>
    <xf numFmtId="10" fontId="1" fillId="3" borderId="74" xfId="2" applyNumberFormat="1" applyFont="1" applyFill="1" applyBorder="1" applyAlignment="1">
      <alignment vertical="center"/>
    </xf>
    <xf numFmtId="167" fontId="16" fillId="3" borderId="75" xfId="1" applyNumberFormat="1" applyFont="1" applyFill="1" applyBorder="1" applyAlignment="1">
      <alignment horizontal="left" vertical="center" readingOrder="1"/>
    </xf>
    <xf numFmtId="167" fontId="16" fillId="3" borderId="77" xfId="1" applyNumberFormat="1" applyFont="1" applyFill="1" applyBorder="1" applyAlignment="1">
      <alignment horizontal="left" vertical="center" readingOrder="1"/>
    </xf>
    <xf numFmtId="167" fontId="16" fillId="3" borderId="0" xfId="1" applyNumberFormat="1" applyFont="1" applyFill="1" applyBorder="1" applyAlignment="1">
      <alignment horizontal="left" vertical="center" readingOrder="1"/>
    </xf>
    <xf numFmtId="10" fontId="1" fillId="3" borderId="79" xfId="2" applyNumberFormat="1" applyFont="1" applyFill="1" applyBorder="1" applyAlignment="1">
      <alignment vertical="center"/>
    </xf>
    <xf numFmtId="10" fontId="1" fillId="3" borderId="1" xfId="2" applyNumberFormat="1" applyFont="1" applyFill="1" applyBorder="1" applyAlignment="1">
      <alignment vertical="center"/>
    </xf>
    <xf numFmtId="165" fontId="1" fillId="3" borderId="80" xfId="1" applyNumberFormat="1" applyFont="1" applyFill="1" applyBorder="1" applyAlignment="1">
      <alignment horizontal="center" vertical="center"/>
    </xf>
    <xf numFmtId="10" fontId="1" fillId="3" borderId="71" xfId="2" applyNumberFormat="1" applyFont="1" applyFill="1" applyBorder="1" applyAlignment="1">
      <alignment vertical="center"/>
    </xf>
    <xf numFmtId="165" fontId="1" fillId="3" borderId="81" xfId="1" applyNumberFormat="1" applyFont="1" applyFill="1" applyBorder="1" applyAlignment="1">
      <alignment horizontal="center" vertical="center"/>
    </xf>
    <xf numFmtId="165" fontId="1" fillId="0" borderId="65" xfId="1" applyNumberFormat="1" applyFont="1" applyFill="1" applyBorder="1" applyAlignment="1">
      <alignment horizontal="center" vertical="center"/>
    </xf>
    <xf numFmtId="165" fontId="2" fillId="0" borderId="65" xfId="1" applyNumberFormat="1" applyFont="1" applyFill="1" applyBorder="1" applyAlignment="1">
      <alignment horizontal="center" vertical="center"/>
    </xf>
    <xf numFmtId="165" fontId="2" fillId="0" borderId="76" xfId="1" applyNumberFormat="1" applyFont="1" applyFill="1" applyBorder="1" applyAlignment="1">
      <alignment horizontal="center" vertical="center"/>
    </xf>
    <xf numFmtId="165" fontId="1" fillId="0" borderId="2" xfId="1" applyNumberFormat="1" applyFont="1" applyFill="1" applyBorder="1" applyAlignment="1">
      <alignment horizontal="center" vertical="center"/>
    </xf>
    <xf numFmtId="167" fontId="16" fillId="3" borderId="62" xfId="1" applyNumberFormat="1" applyFont="1" applyFill="1" applyBorder="1" applyAlignment="1">
      <alignment horizontal="left" vertical="center" readingOrder="1"/>
    </xf>
    <xf numFmtId="167" fontId="16" fillId="3" borderId="82" xfId="1" applyNumberFormat="1" applyFont="1" applyFill="1" applyBorder="1" applyAlignment="1">
      <alignment horizontal="left" vertical="center" readingOrder="1"/>
    </xf>
    <xf numFmtId="165" fontId="2" fillId="2" borderId="66" xfId="1" applyNumberFormat="1" applyFont="1" applyFill="1" applyBorder="1" applyAlignment="1">
      <alignment horizontal="center" vertical="center"/>
    </xf>
    <xf numFmtId="165" fontId="2" fillId="2" borderId="69" xfId="1" applyNumberFormat="1" applyFont="1" applyFill="1" applyBorder="1" applyAlignment="1">
      <alignment horizontal="center" vertical="center"/>
    </xf>
    <xf numFmtId="165" fontId="2" fillId="2" borderId="30" xfId="1" applyNumberFormat="1" applyFont="1" applyFill="1" applyBorder="1" applyAlignment="1">
      <alignment horizontal="center" vertical="center"/>
    </xf>
    <xf numFmtId="165" fontId="2" fillId="2" borderId="36" xfId="1" applyNumberFormat="1" applyFont="1" applyFill="1" applyBorder="1" applyAlignment="1">
      <alignment horizontal="center" vertical="center"/>
    </xf>
    <xf numFmtId="167" fontId="16" fillId="4" borderId="13" xfId="1" applyNumberFormat="1" applyFont="1" applyFill="1" applyBorder="1" applyAlignment="1">
      <alignment horizontal="left" vertical="center" readingOrder="1"/>
    </xf>
    <xf numFmtId="167" fontId="16" fillId="4" borderId="15" xfId="1" applyNumberFormat="1" applyFont="1" applyFill="1" applyBorder="1" applyAlignment="1">
      <alignment horizontal="left" vertical="center" readingOrder="1"/>
    </xf>
    <xf numFmtId="167" fontId="16" fillId="4" borderId="27" xfId="1" applyNumberFormat="1" applyFont="1" applyFill="1" applyBorder="1" applyAlignment="1">
      <alignment horizontal="left" vertical="center" readingOrder="1"/>
    </xf>
    <xf numFmtId="167" fontId="16" fillId="4" borderId="78" xfId="1" applyNumberFormat="1" applyFont="1" applyFill="1" applyBorder="1" applyAlignment="1">
      <alignment horizontal="left" vertical="center" readingOrder="1"/>
    </xf>
    <xf numFmtId="165" fontId="1" fillId="4" borderId="60" xfId="1" applyNumberFormat="1" applyFont="1" applyFill="1" applyBorder="1" applyAlignment="1">
      <alignment horizontal="center" vertical="center"/>
    </xf>
    <xf numFmtId="10" fontId="16" fillId="4" borderId="13" xfId="2" applyNumberFormat="1" applyFont="1" applyFill="1" applyBorder="1" applyAlignment="1">
      <alignment vertical="center" readingOrder="1"/>
    </xf>
    <xf numFmtId="10" fontId="16" fillId="4" borderId="15" xfId="2" applyNumberFormat="1" applyFont="1" applyFill="1" applyBorder="1" applyAlignment="1">
      <alignment vertical="center" readingOrder="1"/>
    </xf>
    <xf numFmtId="10" fontId="16" fillId="4" borderId="27" xfId="2" applyNumberFormat="1" applyFont="1" applyFill="1" applyBorder="1" applyAlignment="1">
      <alignment vertical="center" readingOrder="1"/>
    </xf>
    <xf numFmtId="10" fontId="16" fillId="4" borderId="78" xfId="2" applyNumberFormat="1" applyFont="1" applyFill="1" applyBorder="1" applyAlignment="1">
      <alignment vertical="center" readingOrder="1"/>
    </xf>
    <xf numFmtId="10" fontId="16" fillId="4" borderId="16" xfId="2" applyNumberFormat="1" applyFont="1" applyFill="1" applyBorder="1" applyAlignment="1">
      <alignment vertical="center" readingOrder="1"/>
    </xf>
    <xf numFmtId="165" fontId="2" fillId="3" borderId="83" xfId="1" applyNumberFormat="1" applyFont="1" applyFill="1" applyBorder="1" applyAlignment="1">
      <alignment horizontal="center" vertical="center"/>
    </xf>
    <xf numFmtId="165" fontId="2" fillId="4" borderId="24" xfId="1" applyNumberFormat="1" applyFont="1" applyFill="1" applyBorder="1" applyAlignment="1">
      <alignment horizontal="center" vertical="center"/>
    </xf>
    <xf numFmtId="165" fontId="2" fillId="4" borderId="62" xfId="1" applyNumberFormat="1" applyFont="1" applyFill="1" applyBorder="1" applyAlignment="1">
      <alignment horizontal="center" vertical="center"/>
    </xf>
    <xf numFmtId="0" fontId="19" fillId="3" borderId="7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164" fontId="1" fillId="0" borderId="12" xfId="1" applyNumberFormat="1" applyFont="1" applyFill="1" applyBorder="1" applyAlignment="1">
      <alignment vertical="center"/>
    </xf>
    <xf numFmtId="164" fontId="1" fillId="0" borderId="27" xfId="1" applyNumberFormat="1" applyFont="1" applyFill="1" applyBorder="1" applyAlignment="1">
      <alignment vertical="center"/>
    </xf>
    <xf numFmtId="164" fontId="1" fillId="0" borderId="19" xfId="1" applyNumberFormat="1" applyFont="1" applyFill="1" applyBorder="1" applyAlignment="1">
      <alignment vertical="center"/>
    </xf>
    <xf numFmtId="165" fontId="2" fillId="2" borderId="32" xfId="1" applyNumberFormat="1" applyFont="1" applyFill="1" applyBorder="1" applyAlignment="1">
      <alignment horizontal="center" vertical="center"/>
    </xf>
    <xf numFmtId="165" fontId="2" fillId="2" borderId="5" xfId="1" applyNumberFormat="1" applyFont="1" applyFill="1" applyBorder="1" applyAlignment="1">
      <alignment horizontal="center" vertical="center"/>
    </xf>
    <xf numFmtId="165" fontId="1" fillId="2" borderId="23" xfId="1" applyNumberFormat="1" applyFont="1" applyFill="1" applyBorder="1" applyAlignment="1">
      <alignment vertical="center"/>
    </xf>
    <xf numFmtId="165" fontId="1" fillId="2" borderId="35" xfId="1" applyNumberFormat="1" applyFont="1" applyFill="1" applyBorder="1" applyAlignment="1">
      <alignment vertical="center"/>
    </xf>
    <xf numFmtId="165" fontId="1" fillId="2" borderId="26" xfId="1" applyNumberFormat="1" applyFont="1" applyFill="1" applyBorder="1" applyAlignment="1">
      <alignment vertical="center"/>
    </xf>
    <xf numFmtId="165" fontId="1" fillId="2" borderId="50" xfId="1" applyNumberFormat="1" applyFont="1" applyFill="1" applyBorder="1" applyAlignment="1">
      <alignment vertical="center"/>
    </xf>
    <xf numFmtId="165" fontId="1" fillId="2" borderId="29" xfId="1" applyNumberFormat="1" applyFont="1" applyFill="1" applyBorder="1" applyAlignment="1">
      <alignment vertical="center"/>
    </xf>
    <xf numFmtId="165" fontId="3" fillId="0" borderId="0" xfId="1" applyNumberFormat="1" applyFont="1" applyAlignment="1">
      <alignment horizontal="left" vertical="center"/>
    </xf>
    <xf numFmtId="165" fontId="1" fillId="0" borderId="1" xfId="1" applyNumberFormat="1" applyFont="1" applyBorder="1" applyAlignment="1">
      <alignment horizontal="left" vertical="center"/>
    </xf>
    <xf numFmtId="165" fontId="1" fillId="0" borderId="14" xfId="1" applyNumberFormat="1" applyFont="1" applyFill="1" applyBorder="1" applyAlignment="1">
      <alignment horizontal="center" vertical="center"/>
    </xf>
    <xf numFmtId="165" fontId="1" fillId="0" borderId="56" xfId="1" applyNumberFormat="1" applyFont="1" applyFill="1" applyBorder="1" applyAlignment="1">
      <alignment horizontal="center" vertical="center"/>
    </xf>
    <xf numFmtId="165" fontId="1" fillId="0" borderId="44" xfId="1" applyNumberFormat="1" applyFont="1" applyFill="1" applyBorder="1" applyAlignment="1">
      <alignment horizontal="center" vertical="center"/>
    </xf>
    <xf numFmtId="165" fontId="5" fillId="0" borderId="15" xfId="1" applyNumberFormat="1" applyFont="1" applyBorder="1" applyAlignment="1">
      <alignment horizontal="center" vertical="center"/>
    </xf>
    <xf numFmtId="165" fontId="5" fillId="0" borderId="57" xfId="1" applyNumberFormat="1" applyFont="1" applyBorder="1" applyAlignment="1">
      <alignment horizontal="center" vertical="center"/>
    </xf>
    <xf numFmtId="165" fontId="5" fillId="0" borderId="34" xfId="1" applyNumberFormat="1" applyFont="1" applyBorder="1" applyAlignment="1">
      <alignment horizontal="center" vertical="center"/>
    </xf>
    <xf numFmtId="9" fontId="8" fillId="0" borderId="45" xfId="2" applyFont="1" applyBorder="1" applyAlignment="1">
      <alignment horizontal="center" vertical="center"/>
    </xf>
    <xf numFmtId="9" fontId="8" fillId="0" borderId="58" xfId="2" applyFont="1" applyBorder="1" applyAlignment="1">
      <alignment horizontal="center" vertical="center"/>
    </xf>
    <xf numFmtId="9" fontId="8" fillId="0" borderId="54" xfId="2" applyFont="1" applyBorder="1" applyAlignment="1">
      <alignment horizontal="center" vertical="center"/>
    </xf>
  </cellXfs>
  <cellStyles count="6">
    <cellStyle name="Comma" xfId="1" builtinId="3"/>
    <cellStyle name="Currency 2" xfId="5" xr:uid="{00000000-0005-0000-0000-000028000000}"/>
    <cellStyle name="Normal" xfId="0" builtinId="0"/>
    <cellStyle name="Normal 3" xfId="4" xr:uid="{00000000-0005-0000-0000-000025000000}"/>
    <cellStyle name="Normal 4" xfId="3" xr:uid="{00000000-0005-0000-0000-000016000000}"/>
    <cellStyle name="Percent" xfId="2" builtinId="5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0000FF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9B9B9B"/>
      <rgbColor rgb="00696969"/>
      <rgbColor rgb="00FFFFFF"/>
      <rgbColor rgb="00FFFFFF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ED Account" id="{39D55B28-F107-40BB-9AB2-8D851B3851C1}" userId="154e4bd133f45e3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0" dT="2026-03-31T10:24:37.17" personId="{39D55B28-F107-40BB-9AB2-8D851B3851C1}" id="{3702C191-D555-4A46-BAB4-1913B5760CFC}">
    <text>Service and courier charge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9"/>
  <sheetViews>
    <sheetView showGridLines="0" tabSelected="1" zoomScale="70" zoomScaleNormal="70" workbookViewId="0">
      <pane xSplit="1" ySplit="4" topLeftCell="B50" activePane="bottomRight" state="frozen"/>
      <selection pane="topRight"/>
      <selection pane="bottomLeft"/>
      <selection pane="bottomRight" activeCell="A65" sqref="A65"/>
    </sheetView>
  </sheetViews>
  <sheetFormatPr defaultColWidth="13.6640625" defaultRowHeight="24.75" customHeight="1"/>
  <cols>
    <col min="1" max="1" width="46.33203125" style="1" customWidth="1"/>
    <col min="2" max="6" width="18.6640625" style="2" customWidth="1"/>
    <col min="7" max="7" width="18.6640625" style="3" customWidth="1"/>
    <col min="8" max="13" width="18.6640625" style="2" customWidth="1"/>
    <col min="14" max="14" width="21.109375" style="1" customWidth="1"/>
    <col min="15" max="15" width="18.33203125" style="80" hidden="1" customWidth="1"/>
    <col min="16" max="16" width="19.44140625" style="4" hidden="1" customWidth="1"/>
    <col min="17" max="17" width="14.109375" style="4" hidden="1" customWidth="1"/>
    <col min="18" max="24" width="22.88671875" style="4" customWidth="1"/>
    <col min="25" max="25" width="14.109375" style="1" customWidth="1"/>
    <col min="26" max="26" width="20.33203125" style="4" customWidth="1"/>
    <col min="27" max="27" width="17.6640625" style="4" customWidth="1"/>
    <col min="28" max="16384" width="13.6640625" style="4"/>
  </cols>
  <sheetData>
    <row r="1" spans="1:25" ht="24.75" customHeight="1">
      <c r="A1" s="191" t="s">
        <v>60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</row>
    <row r="3" spans="1:25" ht="24.75" customHeight="1" thickBot="1">
      <c r="A3" s="4"/>
      <c r="B3" s="192" t="s">
        <v>0</v>
      </c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P3" s="1"/>
      <c r="Q3" s="1"/>
      <c r="R3" s="65"/>
      <c r="S3" s="65"/>
      <c r="T3" s="65"/>
      <c r="U3" s="65"/>
      <c r="V3" s="65"/>
      <c r="W3" s="65"/>
      <c r="X3" s="66"/>
      <c r="Y3" s="73"/>
    </row>
    <row r="4" spans="1:25" ht="24.75" customHeight="1" thickBot="1">
      <c r="A4" s="5" t="s">
        <v>1</v>
      </c>
      <c r="B4" s="118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184" t="s">
        <v>7</v>
      </c>
      <c r="H4" s="7" t="s">
        <v>8</v>
      </c>
      <c r="I4" s="7" t="s">
        <v>9</v>
      </c>
      <c r="J4" s="7" t="s">
        <v>10</v>
      </c>
      <c r="K4" s="7" t="s">
        <v>11</v>
      </c>
      <c r="L4" s="7" t="s">
        <v>12</v>
      </c>
      <c r="M4" s="7" t="s">
        <v>13</v>
      </c>
      <c r="N4" s="43" t="s">
        <v>14</v>
      </c>
      <c r="O4" s="81" t="s">
        <v>15</v>
      </c>
      <c r="P4" s="44" t="s">
        <v>16</v>
      </c>
      <c r="Q4" s="67" t="s">
        <v>17</v>
      </c>
      <c r="Y4" s="4"/>
    </row>
    <row r="5" spans="1:25" ht="24.75" customHeight="1">
      <c r="A5" s="8" t="s">
        <v>18</v>
      </c>
      <c r="B5" s="119">
        <v>1060</v>
      </c>
      <c r="C5" s="9">
        <v>835</v>
      </c>
      <c r="D5" s="9">
        <f>968+172</f>
        <v>1140</v>
      </c>
      <c r="E5" s="9">
        <v>1105</v>
      </c>
      <c r="F5" s="9">
        <f>965+172</f>
        <v>1137</v>
      </c>
      <c r="G5" s="122">
        <f>615+164</f>
        <v>779</v>
      </c>
      <c r="H5" s="9"/>
      <c r="I5" s="9"/>
      <c r="J5" s="9"/>
      <c r="K5" s="9"/>
      <c r="L5" s="9"/>
      <c r="M5" s="102"/>
      <c r="N5" s="45">
        <f>SUM(B5:M5)</f>
        <v>6056</v>
      </c>
      <c r="O5" s="35"/>
      <c r="P5" s="46">
        <f>N5-O5</f>
        <v>6056</v>
      </c>
      <c r="Q5" s="68" t="e">
        <f>N5/O5</f>
        <v>#DIV/0!</v>
      </c>
      <c r="Y5" s="4"/>
    </row>
    <row r="6" spans="1:25" ht="24.75" customHeight="1">
      <c r="A6" s="8" t="s">
        <v>45</v>
      </c>
      <c r="B6" s="86">
        <v>143</v>
      </c>
      <c r="C6" s="36">
        <v>161</v>
      </c>
      <c r="D6" s="36">
        <v>169</v>
      </c>
      <c r="E6" s="36">
        <f>70+62+3</f>
        <v>135</v>
      </c>
      <c r="F6" s="36">
        <v>248</v>
      </c>
      <c r="G6" s="123">
        <v>212</v>
      </c>
      <c r="H6" s="36"/>
      <c r="I6" s="36"/>
      <c r="J6" s="36"/>
      <c r="K6" s="36"/>
      <c r="L6" s="36"/>
      <c r="M6" s="103"/>
      <c r="N6" s="47">
        <f t="shared" ref="N6:N35" si="0">SUM(B6:M6)</f>
        <v>1068</v>
      </c>
      <c r="O6" s="35"/>
      <c r="P6" s="46">
        <f t="shared" ref="P6:P35" si="1">N6-O6</f>
        <v>1068</v>
      </c>
      <c r="Q6" s="68" t="e">
        <f t="shared" ref="Q6:Q30" si="2">N6/O6</f>
        <v>#DIV/0!</v>
      </c>
      <c r="Y6" s="4"/>
    </row>
    <row r="7" spans="1:25" ht="24.75" customHeight="1">
      <c r="A7" s="10" t="s">
        <v>19</v>
      </c>
      <c r="B7" s="54">
        <f>431+134</f>
        <v>565</v>
      </c>
      <c r="C7" s="11">
        <v>512</v>
      </c>
      <c r="D7" s="11">
        <f>420+123</f>
        <v>543</v>
      </c>
      <c r="E7" s="11">
        <f>429+2+132</f>
        <v>563</v>
      </c>
      <c r="F7" s="11">
        <f>393+120</f>
        <v>513</v>
      </c>
      <c r="G7" s="124">
        <f>387+125</f>
        <v>512</v>
      </c>
      <c r="H7" s="11"/>
      <c r="I7" s="11"/>
      <c r="J7" s="11"/>
      <c r="K7" s="11"/>
      <c r="L7" s="11"/>
      <c r="M7" s="104"/>
      <c r="N7" s="47">
        <f t="shared" si="0"/>
        <v>3208</v>
      </c>
      <c r="O7" s="48"/>
      <c r="P7" s="46">
        <f t="shared" si="1"/>
        <v>3208</v>
      </c>
      <c r="Q7" s="68" t="e">
        <f t="shared" si="2"/>
        <v>#DIV/0!</v>
      </c>
      <c r="Y7" s="4"/>
    </row>
    <row r="8" spans="1:25" ht="24.75" customHeight="1">
      <c r="A8" s="10" t="s">
        <v>20</v>
      </c>
      <c r="B8" s="54">
        <v>22</v>
      </c>
      <c r="C8" s="11">
        <v>30</v>
      </c>
      <c r="D8" s="11">
        <v>42</v>
      </c>
      <c r="E8" s="11">
        <v>32</v>
      </c>
      <c r="F8" s="11">
        <v>34</v>
      </c>
      <c r="G8" s="124">
        <v>41</v>
      </c>
      <c r="H8" s="11"/>
      <c r="I8" s="11"/>
      <c r="J8" s="11"/>
      <c r="K8" s="11"/>
      <c r="L8" s="11"/>
      <c r="M8" s="104"/>
      <c r="N8" s="47">
        <f t="shared" si="0"/>
        <v>201</v>
      </c>
      <c r="O8" s="49"/>
      <c r="P8" s="50">
        <f t="shared" si="1"/>
        <v>201</v>
      </c>
      <c r="Q8" s="68" t="e">
        <f t="shared" si="2"/>
        <v>#DIV/0!</v>
      </c>
      <c r="Y8" s="4"/>
    </row>
    <row r="9" spans="1:25" ht="24.75" customHeight="1">
      <c r="A9" s="10" t="s">
        <v>21</v>
      </c>
      <c r="B9" s="54">
        <f>602+55</f>
        <v>657</v>
      </c>
      <c r="C9" s="11">
        <v>304</v>
      </c>
      <c r="D9" s="11">
        <v>253</v>
      </c>
      <c r="E9" s="11">
        <f>198+24+59</f>
        <v>281</v>
      </c>
      <c r="F9" s="11">
        <f>367+90</f>
        <v>457</v>
      </c>
      <c r="G9" s="124">
        <f>156+51</f>
        <v>207</v>
      </c>
      <c r="H9" s="11"/>
      <c r="I9" s="12"/>
      <c r="J9" s="11"/>
      <c r="K9" s="11"/>
      <c r="L9" s="11"/>
      <c r="M9" s="104"/>
      <c r="N9" s="47">
        <f t="shared" si="0"/>
        <v>2159</v>
      </c>
      <c r="O9" s="49"/>
      <c r="P9" s="50">
        <f t="shared" ref="P9:P10" si="3">N9-O9</f>
        <v>2159</v>
      </c>
      <c r="Q9" s="68" t="e">
        <f t="shared" ref="Q9:Q10" si="4">N9/O9</f>
        <v>#DIV/0!</v>
      </c>
      <c r="Y9" s="4"/>
    </row>
    <row r="10" spans="1:25" ht="24.75" customHeight="1">
      <c r="A10" s="23" t="s">
        <v>44</v>
      </c>
      <c r="B10" s="54">
        <f>11+11</f>
        <v>22</v>
      </c>
      <c r="C10" s="11">
        <v>7</v>
      </c>
      <c r="D10" s="11">
        <f>9+5</f>
        <v>14</v>
      </c>
      <c r="E10" s="11">
        <f>2-4</f>
        <v>-2</v>
      </c>
      <c r="F10" s="11">
        <v>0</v>
      </c>
      <c r="G10" s="124">
        <v>12</v>
      </c>
      <c r="H10" s="11"/>
      <c r="I10" s="11"/>
      <c r="J10" s="11"/>
      <c r="K10" s="11"/>
      <c r="L10" s="11"/>
      <c r="M10" s="104"/>
      <c r="N10" s="47">
        <f t="shared" si="0"/>
        <v>53</v>
      </c>
      <c r="O10" s="56"/>
      <c r="P10" s="50">
        <f t="shared" si="3"/>
        <v>53</v>
      </c>
      <c r="Q10" s="68" t="e">
        <f t="shared" si="4"/>
        <v>#DIV/0!</v>
      </c>
      <c r="Y10" s="4"/>
    </row>
    <row r="11" spans="1:25" ht="24.75" customHeight="1">
      <c r="A11" s="10" t="s">
        <v>22</v>
      </c>
      <c r="B11" s="54">
        <f>1+14+6</f>
        <v>21</v>
      </c>
      <c r="C11" s="11">
        <v>6</v>
      </c>
      <c r="D11" s="11">
        <v>12</v>
      </c>
      <c r="E11" s="11">
        <v>18</v>
      </c>
      <c r="F11" s="12">
        <v>16</v>
      </c>
      <c r="G11" s="124">
        <v>-2</v>
      </c>
      <c r="H11" s="11"/>
      <c r="I11" s="11"/>
      <c r="J11" s="11"/>
      <c r="K11" s="11"/>
      <c r="L11" s="11"/>
      <c r="M11" s="104"/>
      <c r="N11" s="47">
        <f t="shared" si="0"/>
        <v>71</v>
      </c>
      <c r="O11" s="48"/>
      <c r="P11" s="46">
        <f t="shared" si="1"/>
        <v>71</v>
      </c>
      <c r="Q11" s="68" t="e">
        <f t="shared" si="2"/>
        <v>#DIV/0!</v>
      </c>
      <c r="Y11" s="4"/>
    </row>
    <row r="12" spans="1:25" ht="24.75" customHeight="1">
      <c r="A12" s="10" t="s">
        <v>23</v>
      </c>
      <c r="B12" s="54">
        <f>16+4</f>
        <v>20</v>
      </c>
      <c r="C12" s="11">
        <v>18</v>
      </c>
      <c r="D12" s="11">
        <v>5</v>
      </c>
      <c r="E12" s="11">
        <v>7</v>
      </c>
      <c r="F12" s="11">
        <v>10</v>
      </c>
      <c r="G12" s="124">
        <v>12</v>
      </c>
      <c r="H12" s="11"/>
      <c r="I12" s="11"/>
      <c r="J12" s="11"/>
      <c r="K12" s="11"/>
      <c r="L12" s="11"/>
      <c r="M12" s="104"/>
      <c r="N12" s="47">
        <f t="shared" si="0"/>
        <v>72</v>
      </c>
      <c r="O12" s="48"/>
      <c r="P12" s="46">
        <f t="shared" si="1"/>
        <v>72</v>
      </c>
      <c r="Q12" s="68" t="e">
        <f t="shared" si="2"/>
        <v>#DIV/0!</v>
      </c>
      <c r="Y12" s="4"/>
    </row>
    <row r="13" spans="1:25" ht="24.75" customHeight="1">
      <c r="A13" s="10" t="s">
        <v>24</v>
      </c>
      <c r="B13" s="54">
        <v>31</v>
      </c>
      <c r="C13" s="11">
        <v>25</v>
      </c>
      <c r="D13" s="11">
        <v>24</v>
      </c>
      <c r="E13" s="11">
        <v>41</v>
      </c>
      <c r="F13" s="11">
        <v>30</v>
      </c>
      <c r="G13" s="124">
        <v>71</v>
      </c>
      <c r="H13" s="11"/>
      <c r="I13" s="11"/>
      <c r="J13" s="11"/>
      <c r="K13" s="11"/>
      <c r="L13" s="11"/>
      <c r="M13" s="104"/>
      <c r="N13" s="47">
        <f t="shared" si="0"/>
        <v>222</v>
      </c>
      <c r="O13" s="48"/>
      <c r="P13" s="46">
        <f t="shared" si="1"/>
        <v>222</v>
      </c>
      <c r="Q13" s="68" t="e">
        <f t="shared" si="2"/>
        <v>#DIV/0!</v>
      </c>
      <c r="Y13" s="4"/>
    </row>
    <row r="14" spans="1:25" ht="24.75" customHeight="1">
      <c r="A14" s="10" t="s">
        <v>25</v>
      </c>
      <c r="B14" s="54">
        <f>1653+326+30</f>
        <v>2009</v>
      </c>
      <c r="C14" s="11">
        <f>960+313+245+2+76</f>
        <v>1596</v>
      </c>
      <c r="D14" s="11">
        <f>1620+47</f>
        <v>1667</v>
      </c>
      <c r="E14" s="11">
        <f>1096+338+254+46</f>
        <v>1734</v>
      </c>
      <c r="F14" s="11">
        <v>1294</v>
      </c>
      <c r="G14" s="124">
        <v>1243</v>
      </c>
      <c r="H14" s="11"/>
      <c r="I14" s="11"/>
      <c r="J14" s="11"/>
      <c r="K14" s="11"/>
      <c r="L14" s="11"/>
      <c r="M14" s="104"/>
      <c r="N14" s="47">
        <f t="shared" si="0"/>
        <v>9543</v>
      </c>
      <c r="O14" s="48"/>
      <c r="P14" s="46">
        <f t="shared" ref="P14:P34" si="5">N14-O14</f>
        <v>9543</v>
      </c>
      <c r="Q14" s="68" t="e">
        <f t="shared" ref="Q14" si="6">N14/O14</f>
        <v>#DIV/0!</v>
      </c>
      <c r="Y14" s="4"/>
    </row>
    <row r="15" spans="1:25" ht="24.75" customHeight="1">
      <c r="A15" s="10" t="s">
        <v>55</v>
      </c>
      <c r="B15" s="54">
        <f>47+28+59+19</f>
        <v>153</v>
      </c>
      <c r="C15" s="11">
        <f>28+21+36+15</f>
        <v>100</v>
      </c>
      <c r="D15" s="11">
        <f>25+14+50+16</f>
        <v>105</v>
      </c>
      <c r="E15" s="11">
        <f>36+27+21</f>
        <v>84</v>
      </c>
      <c r="F15" s="11">
        <f>42+47+23</f>
        <v>112</v>
      </c>
      <c r="G15" s="124">
        <f>40+39+22</f>
        <v>101</v>
      </c>
      <c r="H15" s="11"/>
      <c r="I15" s="11"/>
      <c r="J15" s="11"/>
      <c r="K15" s="11"/>
      <c r="L15" s="11"/>
      <c r="M15" s="104"/>
      <c r="N15" s="47">
        <f t="shared" si="0"/>
        <v>655</v>
      </c>
      <c r="O15" s="48"/>
      <c r="P15" s="46">
        <f t="shared" si="5"/>
        <v>655</v>
      </c>
      <c r="Q15" s="68" t="e">
        <f t="shared" si="2"/>
        <v>#DIV/0!</v>
      </c>
      <c r="Y15" s="4"/>
    </row>
    <row r="16" spans="1:25" ht="24.75" customHeight="1">
      <c r="A16" s="88" t="s">
        <v>54</v>
      </c>
      <c r="B16" s="54">
        <f>36+21+8</f>
        <v>65</v>
      </c>
      <c r="C16" s="11">
        <f>27+5+18+5</f>
        <v>55</v>
      </c>
      <c r="D16" s="11">
        <f>24+21+7</f>
        <v>52</v>
      </c>
      <c r="E16" s="11">
        <f>27+26+4</f>
        <v>57</v>
      </c>
      <c r="F16" s="11">
        <f>39+11+1</f>
        <v>51</v>
      </c>
      <c r="G16" s="124">
        <f>33+28</f>
        <v>61</v>
      </c>
      <c r="H16" s="11"/>
      <c r="I16" s="11"/>
      <c r="J16" s="11"/>
      <c r="K16" s="11"/>
      <c r="L16" s="11"/>
      <c r="M16" s="104"/>
      <c r="N16" s="47">
        <f t="shared" si="0"/>
        <v>341</v>
      </c>
      <c r="O16" s="48"/>
      <c r="P16" s="46">
        <f t="shared" si="5"/>
        <v>341</v>
      </c>
      <c r="Q16" s="68" t="e">
        <f t="shared" si="2"/>
        <v>#DIV/0!</v>
      </c>
      <c r="Y16" s="4"/>
    </row>
    <row r="17" spans="1:25" ht="24.75" customHeight="1">
      <c r="A17" s="13" t="s">
        <v>46</v>
      </c>
      <c r="B17" s="54">
        <f>205+65</f>
        <v>270</v>
      </c>
      <c r="C17" s="11">
        <f>66+41</f>
        <v>107</v>
      </c>
      <c r="D17" s="11">
        <f>142+43</f>
        <v>185</v>
      </c>
      <c r="E17" s="11">
        <v>350</v>
      </c>
      <c r="F17" s="11">
        <v>198</v>
      </c>
      <c r="G17" s="124">
        <f>155+50+1</f>
        <v>206</v>
      </c>
      <c r="H17" s="11"/>
      <c r="I17" s="11"/>
      <c r="J17" s="11"/>
      <c r="K17" s="11"/>
      <c r="L17" s="11"/>
      <c r="M17" s="104"/>
      <c r="N17" s="47">
        <f t="shared" si="0"/>
        <v>1316</v>
      </c>
      <c r="O17" s="48"/>
      <c r="P17" s="46">
        <f t="shared" si="5"/>
        <v>1316</v>
      </c>
      <c r="Q17" s="68" t="e">
        <f t="shared" si="2"/>
        <v>#DIV/0!</v>
      </c>
      <c r="Y17" s="4"/>
    </row>
    <row r="18" spans="1:25" ht="24.75" customHeight="1">
      <c r="A18" s="14" t="s">
        <v>52</v>
      </c>
      <c r="B18" s="54">
        <v>12</v>
      </c>
      <c r="C18" s="11">
        <f>310+3</f>
        <v>313</v>
      </c>
      <c r="D18" s="11">
        <v>16</v>
      </c>
      <c r="E18" s="11">
        <v>7</v>
      </c>
      <c r="F18" s="11">
        <v>9</v>
      </c>
      <c r="G18" s="124">
        <f>158+174</f>
        <v>332</v>
      </c>
      <c r="H18" s="11"/>
      <c r="I18" s="11"/>
      <c r="J18" s="11"/>
      <c r="K18" s="11"/>
      <c r="L18" s="11"/>
      <c r="M18" s="104"/>
      <c r="N18" s="47">
        <f t="shared" si="0"/>
        <v>689</v>
      </c>
      <c r="O18" s="48"/>
      <c r="P18" s="46">
        <f t="shared" si="5"/>
        <v>689</v>
      </c>
      <c r="Q18" s="68" t="e">
        <f t="shared" si="2"/>
        <v>#DIV/0!</v>
      </c>
      <c r="Y18" s="4"/>
    </row>
    <row r="19" spans="1:25" ht="24.75" customHeight="1">
      <c r="A19" s="14" t="s">
        <v>51</v>
      </c>
      <c r="B19" s="54">
        <v>397</v>
      </c>
      <c r="C19" s="11">
        <f>238+50</f>
        <v>288</v>
      </c>
      <c r="D19" s="11">
        <f>280+68</f>
        <v>348</v>
      </c>
      <c r="E19" s="11">
        <f>155+30</f>
        <v>185</v>
      </c>
      <c r="F19" s="11">
        <f>234+57</f>
        <v>291</v>
      </c>
      <c r="G19" s="124">
        <v>598</v>
      </c>
      <c r="H19" s="11"/>
      <c r="I19" s="11"/>
      <c r="J19" s="11"/>
      <c r="K19" s="11"/>
      <c r="L19" s="11"/>
      <c r="M19" s="104"/>
      <c r="N19" s="47">
        <f t="shared" si="0"/>
        <v>2107</v>
      </c>
      <c r="O19" s="48"/>
      <c r="P19" s="46">
        <f t="shared" si="5"/>
        <v>2107</v>
      </c>
      <c r="Q19" s="68" t="e">
        <f t="shared" si="2"/>
        <v>#DIV/0!</v>
      </c>
      <c r="Y19" s="4"/>
    </row>
    <row r="20" spans="1:25" ht="24.75" customHeight="1">
      <c r="A20" s="17" t="s">
        <v>48</v>
      </c>
      <c r="B20" s="54">
        <v>58</v>
      </c>
      <c r="C20" s="11">
        <v>63</v>
      </c>
      <c r="D20" s="11">
        <v>117</v>
      </c>
      <c r="E20" s="11">
        <v>53</v>
      </c>
      <c r="F20" s="11">
        <v>40</v>
      </c>
      <c r="G20" s="124">
        <v>22</v>
      </c>
      <c r="H20" s="11"/>
      <c r="I20" s="11"/>
      <c r="J20" s="11"/>
      <c r="K20" s="11"/>
      <c r="L20" s="11"/>
      <c r="M20" s="104"/>
      <c r="N20" s="47">
        <f t="shared" si="0"/>
        <v>353</v>
      </c>
      <c r="O20" s="48"/>
      <c r="P20" s="46">
        <f t="shared" si="5"/>
        <v>353</v>
      </c>
      <c r="Q20" s="68" t="e">
        <f t="shared" si="2"/>
        <v>#DIV/0!</v>
      </c>
      <c r="Y20" s="4"/>
    </row>
    <row r="21" spans="1:25" ht="24.75" customHeight="1">
      <c r="A21" s="17" t="s">
        <v>49</v>
      </c>
      <c r="B21" s="54">
        <v>1551</v>
      </c>
      <c r="C21" s="11">
        <v>1727</v>
      </c>
      <c r="D21" s="11">
        <v>1660</v>
      </c>
      <c r="E21" s="11">
        <v>1563</v>
      </c>
      <c r="F21" s="11">
        <v>1103</v>
      </c>
      <c r="G21" s="124">
        <v>914</v>
      </c>
      <c r="H21" s="11"/>
      <c r="I21" s="11"/>
      <c r="J21" s="11"/>
      <c r="K21" s="11"/>
      <c r="L21" s="11"/>
      <c r="M21" s="104"/>
      <c r="N21" s="47">
        <f t="shared" si="0"/>
        <v>8518</v>
      </c>
      <c r="O21" s="51"/>
      <c r="P21" s="46">
        <f t="shared" si="5"/>
        <v>8518</v>
      </c>
      <c r="Q21" s="68" t="e">
        <f t="shared" si="2"/>
        <v>#DIV/0!</v>
      </c>
      <c r="Y21" s="4"/>
    </row>
    <row r="22" spans="1:25" ht="24.75" customHeight="1">
      <c r="A22" s="17" t="s">
        <v>50</v>
      </c>
      <c r="B22" s="54">
        <v>359</v>
      </c>
      <c r="C22" s="11">
        <v>140</v>
      </c>
      <c r="D22" s="11">
        <v>165</v>
      </c>
      <c r="E22" s="11">
        <v>173</v>
      </c>
      <c r="F22" s="11">
        <v>218</v>
      </c>
      <c r="G22" s="124">
        <v>204</v>
      </c>
      <c r="H22" s="11"/>
      <c r="I22" s="11"/>
      <c r="J22" s="11"/>
      <c r="K22" s="11"/>
      <c r="L22" s="11"/>
      <c r="M22" s="104"/>
      <c r="N22" s="47">
        <f t="shared" si="0"/>
        <v>1259</v>
      </c>
      <c r="O22" s="51"/>
      <c r="P22" s="46">
        <f t="shared" si="5"/>
        <v>1259</v>
      </c>
      <c r="Q22" s="68" t="e">
        <f t="shared" si="2"/>
        <v>#DIV/0!</v>
      </c>
      <c r="Y22" s="4"/>
    </row>
    <row r="23" spans="1:25" ht="24.75" customHeight="1">
      <c r="A23" s="17" t="s">
        <v>53</v>
      </c>
      <c r="B23" s="54">
        <f>337+12</f>
        <v>349</v>
      </c>
      <c r="C23" s="11">
        <f>96+177+8</f>
        <v>281</v>
      </c>
      <c r="D23" s="11">
        <v>421</v>
      </c>
      <c r="E23" s="11">
        <f>94+219+4</f>
        <v>317</v>
      </c>
      <c r="F23" s="11">
        <f>293+422+5</f>
        <v>720</v>
      </c>
      <c r="G23" s="124">
        <f>286+10</f>
        <v>296</v>
      </c>
      <c r="H23" s="11"/>
      <c r="I23" s="11"/>
      <c r="J23" s="11"/>
      <c r="K23" s="11"/>
      <c r="L23" s="11"/>
      <c r="M23" s="104"/>
      <c r="N23" s="47">
        <f t="shared" si="0"/>
        <v>2384</v>
      </c>
      <c r="O23" s="51"/>
      <c r="P23" s="46">
        <f t="shared" si="5"/>
        <v>2384</v>
      </c>
      <c r="Q23" s="68" t="e">
        <f>N23/O23</f>
        <v>#DIV/0!</v>
      </c>
      <c r="Y23" s="4"/>
    </row>
    <row r="24" spans="1:25" ht="24.75" customHeight="1">
      <c r="A24" s="14" t="s">
        <v>56</v>
      </c>
      <c r="B24" s="54">
        <f>108+53+4</f>
        <v>165</v>
      </c>
      <c r="C24" s="11">
        <f>88+44+4</f>
        <v>136</v>
      </c>
      <c r="D24" s="11">
        <v>143</v>
      </c>
      <c r="E24" s="11">
        <v>138</v>
      </c>
      <c r="F24" s="11">
        <f>57+34+1</f>
        <v>92</v>
      </c>
      <c r="G24" s="124">
        <v>108</v>
      </c>
      <c r="H24" s="11"/>
      <c r="I24" s="11"/>
      <c r="J24" s="11"/>
      <c r="K24" s="11"/>
      <c r="L24" s="11"/>
      <c r="M24" s="104"/>
      <c r="N24" s="47">
        <f t="shared" si="0"/>
        <v>782</v>
      </c>
      <c r="O24" s="51"/>
      <c r="P24" s="46">
        <f t="shared" si="5"/>
        <v>782</v>
      </c>
      <c r="Q24" s="68" t="e">
        <f>N24/O24</f>
        <v>#DIV/0!</v>
      </c>
      <c r="Y24" s="4"/>
    </row>
    <row r="25" spans="1:25" ht="24.75" customHeight="1">
      <c r="A25" s="14" t="s">
        <v>57</v>
      </c>
      <c r="B25" s="54">
        <v>149</v>
      </c>
      <c r="C25" s="11">
        <v>114</v>
      </c>
      <c r="D25" s="11">
        <v>168</v>
      </c>
      <c r="E25" s="11">
        <v>133</v>
      </c>
      <c r="F25" s="11">
        <v>76</v>
      </c>
      <c r="G25" s="124">
        <f>135+7</f>
        <v>142</v>
      </c>
      <c r="H25" s="11"/>
      <c r="I25" s="11"/>
      <c r="J25" s="11"/>
      <c r="K25" s="11"/>
      <c r="L25" s="11"/>
      <c r="M25" s="104"/>
      <c r="N25" s="47">
        <f t="shared" si="0"/>
        <v>782</v>
      </c>
      <c r="O25" s="51"/>
      <c r="P25" s="46"/>
      <c r="Q25" s="68"/>
      <c r="Y25" s="4"/>
    </row>
    <row r="26" spans="1:25" ht="24.75" customHeight="1">
      <c r="A26" s="15" t="s">
        <v>26</v>
      </c>
      <c r="B26" s="54">
        <v>6</v>
      </c>
      <c r="C26" s="11">
        <v>2</v>
      </c>
      <c r="D26" s="11">
        <v>6</v>
      </c>
      <c r="E26" s="11">
        <v>14</v>
      </c>
      <c r="F26" s="11">
        <v>28</v>
      </c>
      <c r="G26" s="124">
        <v>12</v>
      </c>
      <c r="H26" s="11"/>
      <c r="I26" s="11"/>
      <c r="J26" s="11"/>
      <c r="K26" s="11"/>
      <c r="L26" s="11"/>
      <c r="M26" s="104"/>
      <c r="N26" s="47">
        <f t="shared" si="0"/>
        <v>68</v>
      </c>
      <c r="O26" s="51"/>
      <c r="P26" s="46">
        <f t="shared" si="5"/>
        <v>68</v>
      </c>
      <c r="Q26" s="68" t="e">
        <f t="shared" si="2"/>
        <v>#DIV/0!</v>
      </c>
      <c r="Y26" s="4"/>
    </row>
    <row r="27" spans="1:25" ht="24.75" customHeight="1">
      <c r="A27" s="13" t="s">
        <v>58</v>
      </c>
      <c r="B27" s="54">
        <v>11</v>
      </c>
      <c r="C27" s="11">
        <v>21</v>
      </c>
      <c r="D27" s="11">
        <v>10</v>
      </c>
      <c r="E27" s="11">
        <v>15</v>
      </c>
      <c r="F27" s="11">
        <v>48</v>
      </c>
      <c r="G27" s="124">
        <v>27</v>
      </c>
      <c r="H27" s="11"/>
      <c r="I27" s="11"/>
      <c r="J27" s="11"/>
      <c r="K27" s="11"/>
      <c r="L27" s="11"/>
      <c r="M27" s="104"/>
      <c r="N27" s="47">
        <f t="shared" si="0"/>
        <v>132</v>
      </c>
      <c r="O27" s="51"/>
      <c r="P27" s="46">
        <f t="shared" si="5"/>
        <v>132</v>
      </c>
      <c r="Q27" s="68" t="e">
        <f t="shared" si="2"/>
        <v>#DIV/0!</v>
      </c>
      <c r="Y27" s="4"/>
    </row>
    <row r="28" spans="1:25" ht="24.75" customHeight="1">
      <c r="A28" s="14" t="s">
        <v>27</v>
      </c>
      <c r="B28" s="74">
        <v>9</v>
      </c>
      <c r="C28" s="16">
        <v>1</v>
      </c>
      <c r="D28" s="11">
        <v>10</v>
      </c>
      <c r="E28" s="11">
        <v>11</v>
      </c>
      <c r="F28" s="16">
        <v>6</v>
      </c>
      <c r="G28" s="125">
        <v>14</v>
      </c>
      <c r="H28" s="16"/>
      <c r="I28" s="16"/>
      <c r="J28" s="16"/>
      <c r="K28" s="16"/>
      <c r="L28" s="16"/>
      <c r="M28" s="105"/>
      <c r="N28" s="47">
        <f t="shared" si="0"/>
        <v>51</v>
      </c>
      <c r="O28" s="51"/>
      <c r="P28" s="46">
        <f t="shared" si="5"/>
        <v>51</v>
      </c>
      <c r="Q28" s="68" t="e">
        <f t="shared" si="2"/>
        <v>#DIV/0!</v>
      </c>
      <c r="T28" s="89"/>
      <c r="Y28" s="4"/>
    </row>
    <row r="29" spans="1:25" ht="24.75" customHeight="1">
      <c r="A29" s="14" t="s">
        <v>28</v>
      </c>
      <c r="B29" s="74">
        <v>17</v>
      </c>
      <c r="C29" s="16">
        <f>14+11</f>
        <v>25</v>
      </c>
      <c r="D29" s="16">
        <v>35</v>
      </c>
      <c r="E29" s="16">
        <f>24+33</f>
        <v>57</v>
      </c>
      <c r="F29" s="16">
        <v>11</v>
      </c>
      <c r="G29" s="125">
        <v>39</v>
      </c>
      <c r="H29" s="16"/>
      <c r="I29" s="16"/>
      <c r="J29" s="16"/>
      <c r="K29" s="16"/>
      <c r="L29" s="16"/>
      <c r="M29" s="105"/>
      <c r="N29" s="47">
        <f t="shared" si="0"/>
        <v>184</v>
      </c>
      <c r="O29" s="51"/>
      <c r="P29" s="46">
        <f t="shared" si="5"/>
        <v>184</v>
      </c>
      <c r="Q29" s="68" t="e">
        <f t="shared" si="2"/>
        <v>#DIV/0!</v>
      </c>
      <c r="Y29" s="4"/>
    </row>
    <row r="30" spans="1:25" ht="24.75" customHeight="1">
      <c r="A30" s="14" t="s">
        <v>29</v>
      </c>
      <c r="B30" s="74">
        <v>9</v>
      </c>
      <c r="C30" s="16">
        <v>4</v>
      </c>
      <c r="D30" s="16">
        <v>5</v>
      </c>
      <c r="E30" s="16">
        <v>6</v>
      </c>
      <c r="F30" s="16">
        <v>2</v>
      </c>
      <c r="G30" s="125"/>
      <c r="H30" s="16"/>
      <c r="I30" s="16"/>
      <c r="J30" s="16"/>
      <c r="K30" s="16"/>
      <c r="L30" s="16"/>
      <c r="M30" s="105"/>
      <c r="N30" s="47">
        <f t="shared" si="0"/>
        <v>26</v>
      </c>
      <c r="O30" s="51"/>
      <c r="P30" s="46">
        <f t="shared" si="5"/>
        <v>26</v>
      </c>
      <c r="Q30" s="68" t="e">
        <f t="shared" si="2"/>
        <v>#DIV/0!</v>
      </c>
      <c r="Y30" s="4"/>
    </row>
    <row r="31" spans="1:25" ht="24.75" customHeight="1">
      <c r="A31" s="14" t="s">
        <v>61</v>
      </c>
      <c r="B31" s="74">
        <v>22</v>
      </c>
      <c r="C31" s="16">
        <v>51</v>
      </c>
      <c r="D31" s="16">
        <v>27</v>
      </c>
      <c r="E31" s="16">
        <v>22</v>
      </c>
      <c r="F31" s="16">
        <v>14</v>
      </c>
      <c r="G31" s="125">
        <v>33</v>
      </c>
      <c r="H31" s="16"/>
      <c r="I31" s="16"/>
      <c r="J31" s="16"/>
      <c r="K31" s="16"/>
      <c r="L31" s="16"/>
      <c r="M31" s="105"/>
      <c r="N31" s="47">
        <f t="shared" si="0"/>
        <v>169</v>
      </c>
      <c r="O31" s="51"/>
      <c r="P31" s="46"/>
      <c r="Q31" s="68"/>
      <c r="Y31" s="4"/>
    </row>
    <row r="32" spans="1:25" ht="24.75" customHeight="1">
      <c r="A32" s="14" t="s">
        <v>62</v>
      </c>
      <c r="B32" s="74">
        <v>0</v>
      </c>
      <c r="C32" s="16">
        <v>1</v>
      </c>
      <c r="D32" s="16">
        <v>0</v>
      </c>
      <c r="E32" s="16">
        <v>0</v>
      </c>
      <c r="F32" s="16">
        <v>0</v>
      </c>
      <c r="G32" s="125">
        <v>0</v>
      </c>
      <c r="H32" s="16"/>
      <c r="I32" s="16"/>
      <c r="J32" s="16"/>
      <c r="K32" s="16"/>
      <c r="L32" s="16"/>
      <c r="M32" s="105"/>
      <c r="N32" s="47">
        <f t="shared" si="0"/>
        <v>1</v>
      </c>
      <c r="O32" s="51"/>
      <c r="P32" s="46"/>
      <c r="Q32" s="68"/>
      <c r="Y32" s="4"/>
    </row>
    <row r="33" spans="1:25" ht="24.75" customHeight="1">
      <c r="A33" s="14" t="s">
        <v>59</v>
      </c>
      <c r="B33" s="74">
        <v>579</v>
      </c>
      <c r="C33" s="16">
        <v>119</v>
      </c>
      <c r="D33" s="16">
        <v>368</v>
      </c>
      <c r="E33" s="16">
        <v>387</v>
      </c>
      <c r="F33" s="16">
        <v>1093</v>
      </c>
      <c r="G33" s="125">
        <v>1637</v>
      </c>
      <c r="H33" s="16"/>
      <c r="I33" s="16"/>
      <c r="J33" s="16"/>
      <c r="K33" s="16"/>
      <c r="L33" s="16"/>
      <c r="M33" s="105"/>
      <c r="N33" s="47">
        <f t="shared" si="0"/>
        <v>4183</v>
      </c>
      <c r="O33" s="51"/>
      <c r="P33" s="46">
        <f t="shared" si="5"/>
        <v>4183</v>
      </c>
      <c r="Q33" s="68" t="e">
        <f t="shared" ref="Q33:Q35" si="7">N33/O33</f>
        <v>#DIV/0!</v>
      </c>
      <c r="Y33" s="4"/>
    </row>
    <row r="34" spans="1:25" ht="24.75" customHeight="1">
      <c r="A34" s="14" t="s">
        <v>47</v>
      </c>
      <c r="B34" s="74">
        <v>956</v>
      </c>
      <c r="C34" s="16">
        <v>791</v>
      </c>
      <c r="D34" s="16">
        <v>934</v>
      </c>
      <c r="E34" s="16">
        <v>972</v>
      </c>
      <c r="F34" s="16">
        <v>768</v>
      </c>
      <c r="G34" s="125">
        <v>2420</v>
      </c>
      <c r="H34" s="16"/>
      <c r="I34" s="16"/>
      <c r="J34" s="16"/>
      <c r="K34" s="16"/>
      <c r="L34" s="16"/>
      <c r="M34" s="105"/>
      <c r="N34" s="47">
        <f t="shared" si="0"/>
        <v>6841</v>
      </c>
      <c r="O34" s="51"/>
      <c r="P34" s="46">
        <f t="shared" si="5"/>
        <v>6841</v>
      </c>
      <c r="Q34" s="68" t="e">
        <f t="shared" si="7"/>
        <v>#DIV/0!</v>
      </c>
      <c r="Y34" s="4"/>
    </row>
    <row r="35" spans="1:25" ht="24.75" customHeight="1" thickBot="1">
      <c r="A35" s="18" t="s">
        <v>30</v>
      </c>
      <c r="B35" s="120">
        <v>2</v>
      </c>
      <c r="C35" s="19">
        <v>10</v>
      </c>
      <c r="D35" s="19">
        <v>1</v>
      </c>
      <c r="E35" s="19">
        <v>10</v>
      </c>
      <c r="F35" s="19">
        <v>0</v>
      </c>
      <c r="G35" s="126">
        <f>10+23</f>
        <v>33</v>
      </c>
      <c r="H35" s="19"/>
      <c r="I35" s="19"/>
      <c r="J35" s="19"/>
      <c r="K35" s="19"/>
      <c r="L35" s="19"/>
      <c r="M35" s="106"/>
      <c r="N35" s="47">
        <f t="shared" si="0"/>
        <v>56</v>
      </c>
      <c r="O35" s="51"/>
      <c r="P35" s="46">
        <f t="shared" si="1"/>
        <v>56</v>
      </c>
      <c r="Q35" s="68" t="e">
        <f t="shared" si="7"/>
        <v>#DIV/0!</v>
      </c>
      <c r="Y35" s="4"/>
    </row>
    <row r="36" spans="1:25" ht="24.75" customHeight="1" thickBot="1">
      <c r="A36" s="1" t="s">
        <v>31</v>
      </c>
      <c r="B36" s="2">
        <f t="shared" ref="B36:P36" si="8">SUM(B5:B35)</f>
        <v>9689</v>
      </c>
      <c r="C36" s="2">
        <f t="shared" si="8"/>
        <v>7843</v>
      </c>
      <c r="D36" s="2">
        <f t="shared" si="8"/>
        <v>8645</v>
      </c>
      <c r="E36" s="2">
        <f t="shared" si="8"/>
        <v>8468</v>
      </c>
      <c r="F36" s="2">
        <f t="shared" si="8"/>
        <v>8619</v>
      </c>
      <c r="G36" s="2">
        <f t="shared" si="8"/>
        <v>10286</v>
      </c>
      <c r="H36" s="2">
        <f t="shared" si="8"/>
        <v>0</v>
      </c>
      <c r="I36" s="2">
        <f t="shared" si="8"/>
        <v>0</v>
      </c>
      <c r="J36" s="2">
        <f t="shared" si="8"/>
        <v>0</v>
      </c>
      <c r="K36" s="2">
        <f t="shared" si="8"/>
        <v>0</v>
      </c>
      <c r="L36" s="2">
        <f t="shared" si="8"/>
        <v>0</v>
      </c>
      <c r="M36" s="2">
        <f t="shared" si="8"/>
        <v>0</v>
      </c>
      <c r="N36" s="5">
        <f t="shared" si="8"/>
        <v>53550</v>
      </c>
      <c r="O36" s="32">
        <f t="shared" si="8"/>
        <v>0</v>
      </c>
      <c r="P36" s="44">
        <f t="shared" si="8"/>
        <v>52598</v>
      </c>
      <c r="Q36" s="69" t="e">
        <f>N36/O36</f>
        <v>#DIV/0!</v>
      </c>
      <c r="Y36" s="4"/>
    </row>
    <row r="37" spans="1:25" ht="24.75" customHeight="1">
      <c r="A37" s="4"/>
      <c r="B37" s="192" t="s">
        <v>32</v>
      </c>
      <c r="C37" s="192"/>
      <c r="D37" s="192"/>
      <c r="E37" s="192"/>
      <c r="F37" s="192"/>
      <c r="G37" s="192"/>
      <c r="M37" s="3"/>
      <c r="N37" s="29"/>
      <c r="O37" s="3"/>
      <c r="P37" s="29"/>
      <c r="Q37" s="29"/>
      <c r="S37" s="29"/>
      <c r="T37" s="29"/>
      <c r="U37" s="29"/>
      <c r="V37" s="65"/>
      <c r="W37" s="65"/>
      <c r="X37" s="66"/>
      <c r="Y37" s="73"/>
    </row>
    <row r="38" spans="1:25" ht="24.75" customHeight="1">
      <c r="A38" s="5" t="s">
        <v>33</v>
      </c>
      <c r="B38" s="121" t="s">
        <v>2</v>
      </c>
      <c r="C38" s="6" t="s">
        <v>3</v>
      </c>
      <c r="D38" s="6" t="s">
        <v>4</v>
      </c>
      <c r="E38" s="6" t="s">
        <v>5</v>
      </c>
      <c r="F38" s="6" t="s">
        <v>6</v>
      </c>
      <c r="G38" s="185" t="s">
        <v>7</v>
      </c>
      <c r="H38" s="91" t="s">
        <v>8</v>
      </c>
      <c r="I38" s="7" t="s">
        <v>9</v>
      </c>
      <c r="J38" s="7" t="s">
        <v>10</v>
      </c>
      <c r="K38" s="98" t="s">
        <v>11</v>
      </c>
      <c r="L38" s="52" t="s">
        <v>12</v>
      </c>
      <c r="M38" s="52" t="s">
        <v>13</v>
      </c>
      <c r="N38" s="5" t="s">
        <v>14</v>
      </c>
      <c r="O38" s="32" t="s">
        <v>15</v>
      </c>
      <c r="P38" s="44" t="s">
        <v>16</v>
      </c>
      <c r="Q38" s="67" t="s">
        <v>17</v>
      </c>
      <c r="S38" s="29"/>
      <c r="T38" s="29"/>
      <c r="U38" s="29"/>
      <c r="V38" s="65"/>
      <c r="W38" s="65"/>
      <c r="X38" s="66"/>
      <c r="Y38" s="73"/>
    </row>
    <row r="39" spans="1:25" ht="24.75" customHeight="1">
      <c r="A39" s="20" t="s">
        <v>18</v>
      </c>
      <c r="B39" s="53">
        <v>69122.2</v>
      </c>
      <c r="C39" s="21">
        <v>50104.68</v>
      </c>
      <c r="D39" s="21">
        <v>63469.74</v>
      </c>
      <c r="E39" s="21">
        <v>58369.04</v>
      </c>
      <c r="F39" s="21">
        <v>58907.29</v>
      </c>
      <c r="G39" s="186">
        <v>47511.6</v>
      </c>
      <c r="H39" s="21"/>
      <c r="I39" s="53"/>
      <c r="J39" s="21"/>
      <c r="K39" s="22"/>
      <c r="L39" s="99"/>
      <c r="M39" s="107"/>
      <c r="N39" s="34">
        <f>SUM(B39:M39)</f>
        <v>347484.55</v>
      </c>
      <c r="O39" s="54"/>
      <c r="P39" s="55">
        <f>N39-O39</f>
        <v>347484.55</v>
      </c>
      <c r="Q39" s="70" t="e">
        <f>N39/O39</f>
        <v>#DIV/0!</v>
      </c>
      <c r="V39" s="66"/>
      <c r="W39" s="66"/>
      <c r="X39" s="66"/>
      <c r="Y39" s="73"/>
    </row>
    <row r="40" spans="1:25" ht="24.75" customHeight="1">
      <c r="A40" s="23" t="s">
        <v>45</v>
      </c>
      <c r="B40" s="49">
        <v>6713.4</v>
      </c>
      <c r="C40" s="78">
        <v>7520</v>
      </c>
      <c r="D40" s="78">
        <v>7832</v>
      </c>
      <c r="E40" s="78">
        <v>6234</v>
      </c>
      <c r="F40" s="78">
        <v>11513</v>
      </c>
      <c r="G40" s="187">
        <v>9964</v>
      </c>
      <c r="H40" s="78"/>
      <c r="I40" s="92"/>
      <c r="J40" s="78"/>
      <c r="K40" s="79"/>
      <c r="L40" s="87"/>
      <c r="M40" s="108"/>
      <c r="N40" s="34">
        <f t="shared" ref="N40:N70" si="9">SUM(B40:M40)</f>
        <v>49776.4</v>
      </c>
      <c r="O40" s="54"/>
      <c r="P40" s="55">
        <f t="shared" ref="P40:P67" si="10">N40-O40</f>
        <v>49776.4</v>
      </c>
      <c r="Q40" s="70" t="e">
        <f t="shared" ref="Q40:Q67" si="11">N40/O40</f>
        <v>#DIV/0!</v>
      </c>
      <c r="V40" s="66"/>
      <c r="W40" s="66"/>
      <c r="X40" s="66"/>
      <c r="Y40" s="73"/>
    </row>
    <row r="41" spans="1:25" ht="24.75" customHeight="1">
      <c r="A41" s="23" t="s">
        <v>19</v>
      </c>
      <c r="B41" s="56">
        <v>48835.75</v>
      </c>
      <c r="C41" s="12">
        <v>45119.5</v>
      </c>
      <c r="D41" s="12">
        <v>47784.5</v>
      </c>
      <c r="E41" s="12">
        <v>47601.75</v>
      </c>
      <c r="F41" s="12">
        <v>44940.25</v>
      </c>
      <c r="G41" s="188">
        <v>44199.5</v>
      </c>
      <c r="H41" s="12"/>
      <c r="I41" s="56"/>
      <c r="J41" s="12"/>
      <c r="K41" s="24"/>
      <c r="L41" s="87"/>
      <c r="M41" s="109"/>
      <c r="N41" s="34">
        <f t="shared" si="9"/>
        <v>278481.25</v>
      </c>
      <c r="O41" s="54"/>
      <c r="P41" s="55">
        <f t="shared" si="10"/>
        <v>278481.25</v>
      </c>
      <c r="Q41" s="70" t="e">
        <f t="shared" si="11"/>
        <v>#DIV/0!</v>
      </c>
    </row>
    <row r="42" spans="1:25" ht="24.75" customHeight="1">
      <c r="A42" s="23" t="s">
        <v>35</v>
      </c>
      <c r="B42" s="56">
        <v>1932.05</v>
      </c>
      <c r="C42" s="12">
        <v>2583.34</v>
      </c>
      <c r="D42" s="12">
        <v>3600</v>
      </c>
      <c r="E42" s="12">
        <v>2795</v>
      </c>
      <c r="F42" s="12">
        <v>2843.25</v>
      </c>
      <c r="G42" s="188">
        <v>3375</v>
      </c>
      <c r="H42" s="12"/>
      <c r="I42" s="56"/>
      <c r="J42" s="12"/>
      <c r="K42" s="24"/>
      <c r="L42" s="87"/>
      <c r="M42" s="109"/>
      <c r="N42" s="34">
        <f t="shared" si="9"/>
        <v>17128.64</v>
      </c>
      <c r="O42" s="54"/>
      <c r="P42" s="55">
        <f t="shared" si="10"/>
        <v>17128.64</v>
      </c>
      <c r="Q42" s="70" t="e">
        <f t="shared" si="11"/>
        <v>#DIV/0!</v>
      </c>
    </row>
    <row r="43" spans="1:25" ht="24.75" customHeight="1">
      <c r="A43" s="10" t="s">
        <v>21</v>
      </c>
      <c r="B43" s="54">
        <v>71821</v>
      </c>
      <c r="C43" s="11">
        <v>30142</v>
      </c>
      <c r="D43" s="12">
        <v>25332</v>
      </c>
      <c r="E43" s="12">
        <v>27851</v>
      </c>
      <c r="F43" s="12">
        <v>44346</v>
      </c>
      <c r="G43" s="188">
        <v>20753</v>
      </c>
      <c r="H43" s="12"/>
      <c r="I43" s="56"/>
      <c r="J43" s="12"/>
      <c r="K43" s="24"/>
      <c r="L43" s="87"/>
      <c r="M43" s="109"/>
      <c r="N43" s="34">
        <f t="shared" si="9"/>
        <v>220245</v>
      </c>
      <c r="O43" s="54"/>
      <c r="P43" s="55">
        <f t="shared" si="10"/>
        <v>220245</v>
      </c>
      <c r="Q43" s="70" t="e">
        <f t="shared" si="11"/>
        <v>#DIV/0!</v>
      </c>
    </row>
    <row r="44" spans="1:25" ht="24.75" customHeight="1">
      <c r="A44" s="23" t="s">
        <v>44</v>
      </c>
      <c r="B44" s="48">
        <v>1078</v>
      </c>
      <c r="C44" s="11">
        <v>686</v>
      </c>
      <c r="D44" s="12">
        <v>686</v>
      </c>
      <c r="E44" s="12">
        <v>-147</v>
      </c>
      <c r="F44" s="12">
        <v>0</v>
      </c>
      <c r="G44" s="188">
        <v>588</v>
      </c>
      <c r="H44" s="12"/>
      <c r="I44" s="56"/>
      <c r="J44" s="12"/>
      <c r="K44" s="24"/>
      <c r="L44" s="87"/>
      <c r="M44" s="109"/>
      <c r="N44" s="34">
        <f t="shared" si="9"/>
        <v>2891</v>
      </c>
      <c r="O44" s="54"/>
      <c r="P44" s="55">
        <f t="shared" si="10"/>
        <v>2891</v>
      </c>
      <c r="Q44" s="70" t="e">
        <f t="shared" si="11"/>
        <v>#DIV/0!</v>
      </c>
    </row>
    <row r="45" spans="1:25" ht="24.75" customHeight="1">
      <c r="A45" s="23" t="s">
        <v>22</v>
      </c>
      <c r="B45" s="56">
        <v>1470</v>
      </c>
      <c r="C45" s="12">
        <v>420</v>
      </c>
      <c r="D45" s="12">
        <v>875</v>
      </c>
      <c r="E45" s="12">
        <v>1260</v>
      </c>
      <c r="F45" s="12">
        <v>1155</v>
      </c>
      <c r="G45" s="188">
        <v>-70</v>
      </c>
      <c r="H45" s="12"/>
      <c r="I45" s="56"/>
      <c r="J45" s="12"/>
      <c r="K45" s="24"/>
      <c r="L45" s="87"/>
      <c r="M45" s="109"/>
      <c r="N45" s="34">
        <f t="shared" si="9"/>
        <v>5110</v>
      </c>
      <c r="O45" s="54"/>
      <c r="P45" s="55">
        <f t="shared" si="10"/>
        <v>5110</v>
      </c>
      <c r="Q45" s="70" t="e">
        <f t="shared" si="11"/>
        <v>#DIV/0!</v>
      </c>
    </row>
    <row r="46" spans="1:25" ht="24.75" customHeight="1">
      <c r="A46" s="23" t="s">
        <v>23</v>
      </c>
      <c r="B46" s="56">
        <v>1200</v>
      </c>
      <c r="C46" s="12">
        <v>1200</v>
      </c>
      <c r="D46" s="12">
        <v>320</v>
      </c>
      <c r="E46" s="12">
        <v>440</v>
      </c>
      <c r="F46" s="12">
        <v>640</v>
      </c>
      <c r="G46" s="188">
        <v>800</v>
      </c>
      <c r="H46" s="12"/>
      <c r="I46" s="56"/>
      <c r="J46" s="12"/>
      <c r="K46" s="24"/>
      <c r="L46" s="87"/>
      <c r="M46" s="109"/>
      <c r="N46" s="34">
        <f t="shared" si="9"/>
        <v>4600</v>
      </c>
      <c r="O46" s="54"/>
      <c r="P46" s="55">
        <f t="shared" si="10"/>
        <v>4600</v>
      </c>
      <c r="Q46" s="70" t="e">
        <f t="shared" si="11"/>
        <v>#DIV/0!</v>
      </c>
    </row>
    <row r="47" spans="1:25" ht="24.75" customHeight="1">
      <c r="A47" s="23" t="s">
        <v>24</v>
      </c>
      <c r="B47" s="56">
        <v>1615</v>
      </c>
      <c r="C47" s="12">
        <v>898.05</v>
      </c>
      <c r="D47" s="12">
        <v>917.2</v>
      </c>
      <c r="E47" s="12">
        <v>2150</v>
      </c>
      <c r="F47" s="181">
        <v>1590</v>
      </c>
      <c r="G47" s="188">
        <v>2518.48</v>
      </c>
      <c r="H47" s="12"/>
      <c r="I47" s="56"/>
      <c r="J47" s="96"/>
      <c r="K47" s="24"/>
      <c r="L47" s="87"/>
      <c r="M47" s="110"/>
      <c r="N47" s="34">
        <f t="shared" si="9"/>
        <v>9688.73</v>
      </c>
      <c r="O47" s="54"/>
      <c r="P47" s="55">
        <f t="shared" si="10"/>
        <v>9688.73</v>
      </c>
      <c r="Q47" s="70" t="e">
        <f t="shared" si="11"/>
        <v>#DIV/0!</v>
      </c>
    </row>
    <row r="48" spans="1:25" ht="24.75" customHeight="1">
      <c r="A48" s="23" t="s">
        <v>36</v>
      </c>
      <c r="B48" s="56">
        <v>51083.47</v>
      </c>
      <c r="C48" s="12">
        <v>38867.18</v>
      </c>
      <c r="D48" s="12">
        <v>40827.75</v>
      </c>
      <c r="E48" s="12">
        <v>44922.89</v>
      </c>
      <c r="F48" s="12">
        <v>31969.05</v>
      </c>
      <c r="G48" s="188">
        <v>38484.949999999997</v>
      </c>
      <c r="H48" s="12"/>
      <c r="I48" s="56"/>
      <c r="J48" s="12"/>
      <c r="K48" s="24"/>
      <c r="L48" s="87"/>
      <c r="M48" s="109"/>
      <c r="N48" s="34">
        <f t="shared" si="9"/>
        <v>246155.28999999998</v>
      </c>
      <c r="O48" s="54"/>
      <c r="P48" s="55">
        <f t="shared" si="10"/>
        <v>246155.28999999998</v>
      </c>
      <c r="Q48" s="70" t="e">
        <f t="shared" si="11"/>
        <v>#DIV/0!</v>
      </c>
    </row>
    <row r="49" spans="1:17" ht="24.75" customHeight="1">
      <c r="A49" s="23" t="s">
        <v>55</v>
      </c>
      <c r="B49" s="56">
        <f>2580.2+3055.2</f>
        <v>5635.4</v>
      </c>
      <c r="C49" s="12">
        <f>1464+1859</f>
        <v>3323</v>
      </c>
      <c r="D49" s="12">
        <v>3892.2</v>
      </c>
      <c r="E49" s="12">
        <f>1313.4+1398.8</f>
        <v>2712.2</v>
      </c>
      <c r="F49" s="12">
        <f>1240.2+2453.4</f>
        <v>3693.6000000000004</v>
      </c>
      <c r="G49" s="188">
        <f>1440.4+2022.8</f>
        <v>3463.2</v>
      </c>
      <c r="H49" s="12"/>
      <c r="I49" s="56"/>
      <c r="J49" s="12"/>
      <c r="K49" s="24"/>
      <c r="L49" s="87"/>
      <c r="M49" s="109"/>
      <c r="N49" s="34">
        <f t="shared" si="9"/>
        <v>22719.600000000002</v>
      </c>
      <c r="O49" s="54"/>
      <c r="P49" s="55">
        <f t="shared" si="10"/>
        <v>22719.600000000002</v>
      </c>
      <c r="Q49" s="70" t="e">
        <f t="shared" si="11"/>
        <v>#DIV/0!</v>
      </c>
    </row>
    <row r="50" spans="1:17" ht="24.75" customHeight="1">
      <c r="A50" s="23" t="s">
        <v>54</v>
      </c>
      <c r="B50" s="56">
        <f>4320+2835</f>
        <v>7155</v>
      </c>
      <c r="C50" s="12">
        <f>3705.75+2342.25</f>
        <v>6048</v>
      </c>
      <c r="D50" s="12">
        <v>5656.5</v>
      </c>
      <c r="E50" s="12">
        <f>2814.75+3510</f>
        <v>6324.75</v>
      </c>
      <c r="F50" s="12">
        <f>4331.5+1208.25</f>
        <v>5539.75</v>
      </c>
      <c r="G50" s="188">
        <f>3618+2970</f>
        <v>6588</v>
      </c>
      <c r="H50" s="12"/>
      <c r="I50" s="56"/>
      <c r="J50" s="12"/>
      <c r="K50" s="24"/>
      <c r="L50" s="87"/>
      <c r="M50" s="109"/>
      <c r="N50" s="34">
        <f t="shared" si="9"/>
        <v>37312</v>
      </c>
      <c r="O50" s="54"/>
      <c r="P50" s="55">
        <f t="shared" si="10"/>
        <v>37312</v>
      </c>
      <c r="Q50" s="70" t="e">
        <f t="shared" si="11"/>
        <v>#DIV/0!</v>
      </c>
    </row>
    <row r="51" spans="1:17" ht="24.75" customHeight="1">
      <c r="A51" s="25" t="s">
        <v>46</v>
      </c>
      <c r="B51" s="56">
        <v>7759.2</v>
      </c>
      <c r="C51" s="12">
        <v>5893.8</v>
      </c>
      <c r="D51" s="12">
        <v>5343.3</v>
      </c>
      <c r="E51" s="12">
        <v>10020.6</v>
      </c>
      <c r="F51" s="181">
        <v>5639.2</v>
      </c>
      <c r="G51" s="188">
        <v>5905.2</v>
      </c>
      <c r="H51" s="12"/>
      <c r="I51" s="56"/>
      <c r="J51" s="12"/>
      <c r="K51" s="24"/>
      <c r="L51" s="87"/>
      <c r="M51" s="109"/>
      <c r="N51" s="34">
        <f t="shared" si="9"/>
        <v>40561.299999999996</v>
      </c>
      <c r="O51" s="54"/>
      <c r="P51" s="55">
        <f t="shared" si="10"/>
        <v>40561.299999999996</v>
      </c>
      <c r="Q51" s="70" t="e">
        <f t="shared" si="11"/>
        <v>#DIV/0!</v>
      </c>
    </row>
    <row r="52" spans="1:17" ht="24.75" customHeight="1">
      <c r="A52" s="17" t="s">
        <v>52</v>
      </c>
      <c r="B52" s="56">
        <v>342</v>
      </c>
      <c r="C52" s="12">
        <v>3344.11</v>
      </c>
      <c r="D52" s="12">
        <v>456</v>
      </c>
      <c r="E52" s="12">
        <v>188</v>
      </c>
      <c r="F52" s="12">
        <v>266</v>
      </c>
      <c r="G52" s="188">
        <v>1136.68</v>
      </c>
      <c r="H52" s="12"/>
      <c r="I52" s="56"/>
      <c r="J52" s="12"/>
      <c r="K52" s="24"/>
      <c r="L52" s="87"/>
      <c r="M52" s="109"/>
      <c r="N52" s="34">
        <f t="shared" si="9"/>
        <v>5732.7900000000009</v>
      </c>
      <c r="O52" s="54"/>
      <c r="P52" s="55">
        <f t="shared" ref="P52" si="12">N52-O52</f>
        <v>5732.7900000000009</v>
      </c>
      <c r="Q52" s="70" t="e">
        <f t="shared" ref="Q52" si="13">N52/O52</f>
        <v>#DIV/0!</v>
      </c>
    </row>
    <row r="53" spans="1:17" ht="24.75" customHeight="1">
      <c r="A53" s="17" t="s">
        <v>51</v>
      </c>
      <c r="B53" s="56">
        <v>13061</v>
      </c>
      <c r="C53" s="12">
        <v>8396.9</v>
      </c>
      <c r="D53" s="12">
        <v>11200</v>
      </c>
      <c r="E53" s="12">
        <v>6205</v>
      </c>
      <c r="F53" s="12">
        <v>9440</v>
      </c>
      <c r="G53" s="188">
        <v>22221.24</v>
      </c>
      <c r="H53" s="12"/>
      <c r="I53" s="56"/>
      <c r="J53" s="12"/>
      <c r="K53" s="24"/>
      <c r="L53" s="87"/>
      <c r="M53" s="109"/>
      <c r="N53" s="34">
        <f t="shared" si="9"/>
        <v>70524.14</v>
      </c>
      <c r="O53" s="54"/>
      <c r="P53" s="55">
        <f t="shared" si="10"/>
        <v>70524.14</v>
      </c>
      <c r="Q53" s="70" t="e">
        <f t="shared" si="11"/>
        <v>#DIV/0!</v>
      </c>
    </row>
    <row r="54" spans="1:17" ht="24.75" customHeight="1">
      <c r="A54" s="17" t="s">
        <v>48</v>
      </c>
      <c r="B54" s="56">
        <v>175</v>
      </c>
      <c r="C54" s="12">
        <v>297.5</v>
      </c>
      <c r="D54" s="12">
        <v>1540.8</v>
      </c>
      <c r="E54" s="12">
        <v>507.5</v>
      </c>
      <c r="F54" s="12">
        <v>210</v>
      </c>
      <c r="G54" s="188">
        <v>140</v>
      </c>
      <c r="H54" s="12"/>
      <c r="I54" s="56"/>
      <c r="J54" s="12"/>
      <c r="K54" s="12"/>
      <c r="L54" s="87"/>
      <c r="M54" s="109"/>
      <c r="N54" s="34">
        <f t="shared" si="9"/>
        <v>2870.8</v>
      </c>
      <c r="O54" s="193"/>
      <c r="P54" s="196">
        <f>+O54-N54-N55-N56</f>
        <v>-148128.16999999998</v>
      </c>
      <c r="Q54" s="199" t="e">
        <f>(N54+N55+N56)/O54</f>
        <v>#DIV/0!</v>
      </c>
    </row>
    <row r="55" spans="1:17" ht="24.75" customHeight="1">
      <c r="A55" s="17" t="s">
        <v>49</v>
      </c>
      <c r="B55" s="56">
        <v>19662.5</v>
      </c>
      <c r="C55" s="12">
        <v>24514.15</v>
      </c>
      <c r="D55" s="12">
        <v>20371.599999999999</v>
      </c>
      <c r="E55" s="12">
        <v>19719.580000000002</v>
      </c>
      <c r="F55" s="12">
        <v>16992.5</v>
      </c>
      <c r="G55" s="188">
        <v>14051.65</v>
      </c>
      <c r="H55" s="12"/>
      <c r="I55" s="93"/>
      <c r="J55" s="12"/>
      <c r="K55" s="12"/>
      <c r="L55" s="87"/>
      <c r="M55" s="109"/>
      <c r="N55" s="34">
        <f t="shared" si="9"/>
        <v>115311.98</v>
      </c>
      <c r="O55" s="194"/>
      <c r="P55" s="197"/>
      <c r="Q55" s="200"/>
    </row>
    <row r="56" spans="1:17" ht="24.75" customHeight="1">
      <c r="A56" s="17" t="s">
        <v>50</v>
      </c>
      <c r="B56" s="56">
        <v>9265</v>
      </c>
      <c r="C56" s="12">
        <v>3360</v>
      </c>
      <c r="D56" s="12">
        <v>3601.6</v>
      </c>
      <c r="E56" s="12">
        <v>4556.29</v>
      </c>
      <c r="F56" s="12">
        <v>4372.5</v>
      </c>
      <c r="G56" s="188">
        <v>4790</v>
      </c>
      <c r="H56" s="12"/>
      <c r="I56" s="56"/>
      <c r="J56" s="12"/>
      <c r="K56" s="12"/>
      <c r="L56" s="87"/>
      <c r="M56" s="109"/>
      <c r="N56" s="34">
        <f t="shared" si="9"/>
        <v>29945.39</v>
      </c>
      <c r="O56" s="195"/>
      <c r="P56" s="198"/>
      <c r="Q56" s="201"/>
    </row>
    <row r="57" spans="1:17" ht="24.75" customHeight="1">
      <c r="A57" s="17" t="s">
        <v>53</v>
      </c>
      <c r="B57" s="56">
        <v>7422.5</v>
      </c>
      <c r="C57" s="12">
        <v>6260</v>
      </c>
      <c r="D57" s="12">
        <v>9391.65</v>
      </c>
      <c r="E57" s="12">
        <v>7145</v>
      </c>
      <c r="F57" s="12">
        <v>14852.5</v>
      </c>
      <c r="G57" s="188">
        <v>6130.8</v>
      </c>
      <c r="H57" s="12"/>
      <c r="I57" s="56"/>
      <c r="J57" s="12"/>
      <c r="K57" s="24"/>
      <c r="L57" s="87"/>
      <c r="M57" s="111"/>
      <c r="N57" s="34">
        <f t="shared" si="9"/>
        <v>51202.450000000004</v>
      </c>
      <c r="O57" s="86"/>
      <c r="P57" s="55">
        <f t="shared" si="10"/>
        <v>51202.450000000004</v>
      </c>
      <c r="Q57" s="68"/>
    </row>
    <row r="58" spans="1:17" ht="24.75" customHeight="1">
      <c r="A58" s="14" t="s">
        <v>56</v>
      </c>
      <c r="B58" s="49">
        <v>6356</v>
      </c>
      <c r="C58" s="12">
        <v>5196</v>
      </c>
      <c r="D58" s="12">
        <v>5715</v>
      </c>
      <c r="E58" s="12">
        <v>5778</v>
      </c>
      <c r="F58" s="12">
        <v>3434</v>
      </c>
      <c r="G58" s="188">
        <v>4242</v>
      </c>
      <c r="H58" s="12"/>
      <c r="I58" s="56"/>
      <c r="J58" s="12"/>
      <c r="K58" s="24"/>
      <c r="L58" s="87"/>
      <c r="M58" s="109"/>
      <c r="N58" s="34">
        <f t="shared" si="9"/>
        <v>30721</v>
      </c>
      <c r="O58" s="86"/>
      <c r="P58" s="55">
        <f t="shared" ref="P58" si="14">N58-O58</f>
        <v>30721</v>
      </c>
      <c r="Q58" s="70" t="e">
        <f t="shared" ref="Q58" si="15">N58/O58</f>
        <v>#DIV/0!</v>
      </c>
    </row>
    <row r="59" spans="1:17" ht="24.75" customHeight="1">
      <c r="A59" s="25" t="s">
        <v>57</v>
      </c>
      <c r="B59" s="56">
        <v>6657.75</v>
      </c>
      <c r="C59" s="12">
        <v>4635</v>
      </c>
      <c r="D59" s="12">
        <v>7065</v>
      </c>
      <c r="E59" s="12">
        <v>5940</v>
      </c>
      <c r="F59" s="12">
        <v>3262.5</v>
      </c>
      <c r="G59" s="188">
        <v>5625</v>
      </c>
      <c r="H59" s="12"/>
      <c r="I59" s="56"/>
      <c r="J59" s="12"/>
      <c r="K59" s="24"/>
      <c r="L59" s="87"/>
      <c r="M59" s="109"/>
      <c r="N59" s="34">
        <f t="shared" si="9"/>
        <v>33185.25</v>
      </c>
      <c r="O59" s="86"/>
      <c r="P59" s="55"/>
      <c r="Q59" s="70"/>
    </row>
    <row r="60" spans="1:17" ht="24.75" customHeight="1">
      <c r="A60" s="23" t="s">
        <v>26</v>
      </c>
      <c r="B60" s="56">
        <f>750+220</f>
        <v>970</v>
      </c>
      <c r="C60" s="12">
        <f>150+220</f>
        <v>370</v>
      </c>
      <c r="D60" s="12">
        <f>750+220</f>
        <v>970</v>
      </c>
      <c r="E60" s="12">
        <f>1800+440</f>
        <v>2240</v>
      </c>
      <c r="F60" s="12">
        <v>2100</v>
      </c>
      <c r="G60" s="188">
        <f>1390+660</f>
        <v>2050</v>
      </c>
      <c r="H60" s="12"/>
      <c r="I60" s="56"/>
      <c r="J60" s="12"/>
      <c r="K60" s="24"/>
      <c r="L60" s="87"/>
      <c r="M60" s="109"/>
      <c r="N60" s="34">
        <f t="shared" si="9"/>
        <v>8700</v>
      </c>
      <c r="O60" s="54"/>
      <c r="P60" s="55">
        <f t="shared" si="10"/>
        <v>8700</v>
      </c>
      <c r="Q60" s="70" t="e">
        <f t="shared" si="11"/>
        <v>#DIV/0!</v>
      </c>
    </row>
    <row r="61" spans="1:17" ht="24.75" customHeight="1">
      <c r="A61" s="25" t="s">
        <v>58</v>
      </c>
      <c r="B61" s="56">
        <v>2446</v>
      </c>
      <c r="C61" s="12">
        <v>2795.9</v>
      </c>
      <c r="D61" s="12">
        <v>1357.9</v>
      </c>
      <c r="E61" s="12">
        <v>3234.6</v>
      </c>
      <c r="F61" s="181">
        <v>6372.1</v>
      </c>
      <c r="G61" s="188">
        <v>3193</v>
      </c>
      <c r="H61" s="12"/>
      <c r="I61" s="56"/>
      <c r="J61" s="12"/>
      <c r="K61" s="24"/>
      <c r="L61" s="100"/>
      <c r="M61" s="109"/>
      <c r="N61" s="34">
        <f t="shared" si="9"/>
        <v>19399.5</v>
      </c>
      <c r="O61" s="54"/>
      <c r="P61" s="55">
        <f t="shared" si="10"/>
        <v>19399.5</v>
      </c>
      <c r="Q61" s="70" t="e">
        <f t="shared" si="11"/>
        <v>#DIV/0!</v>
      </c>
    </row>
    <row r="62" spans="1:17" ht="24.75" customHeight="1">
      <c r="A62" s="17" t="s">
        <v>27</v>
      </c>
      <c r="B62" s="26">
        <v>3065</v>
      </c>
      <c r="C62" s="26">
        <v>380</v>
      </c>
      <c r="D62" s="26">
        <v>2883</v>
      </c>
      <c r="E62" s="26">
        <v>2904.55</v>
      </c>
      <c r="F62" s="26">
        <f>1538+375</f>
        <v>1913</v>
      </c>
      <c r="G62" s="114">
        <v>4241</v>
      </c>
      <c r="H62" s="26"/>
      <c r="I62" s="26"/>
      <c r="J62" s="77"/>
      <c r="K62" s="57"/>
      <c r="L62" s="87"/>
      <c r="M62" s="112"/>
      <c r="N62" s="34">
        <f t="shared" si="9"/>
        <v>15386.55</v>
      </c>
      <c r="O62" s="74"/>
      <c r="P62" s="55">
        <f t="shared" si="10"/>
        <v>15386.55</v>
      </c>
      <c r="Q62" s="70" t="e">
        <f t="shared" si="11"/>
        <v>#DIV/0!</v>
      </c>
    </row>
    <row r="63" spans="1:17" ht="24.75" customHeight="1">
      <c r="A63" s="25" t="s">
        <v>29</v>
      </c>
      <c r="B63" s="26">
        <v>5040</v>
      </c>
      <c r="C63" s="26">
        <v>2240</v>
      </c>
      <c r="D63" s="26">
        <v>2800</v>
      </c>
      <c r="E63" s="26">
        <v>3360</v>
      </c>
      <c r="F63" s="182">
        <v>1120</v>
      </c>
      <c r="G63" s="127">
        <v>0</v>
      </c>
      <c r="H63" s="26"/>
      <c r="I63" s="26"/>
      <c r="J63" s="77"/>
      <c r="K63" s="57"/>
      <c r="L63" s="100"/>
      <c r="M63" s="112"/>
      <c r="N63" s="34">
        <f>SUM(B63:M63)</f>
        <v>14560</v>
      </c>
      <c r="O63" s="74"/>
      <c r="P63" s="55">
        <f>N63-O63</f>
        <v>14560</v>
      </c>
      <c r="Q63" s="70" t="e">
        <f>N63/O63</f>
        <v>#DIV/0!</v>
      </c>
    </row>
    <row r="64" spans="1:17" ht="24.75" customHeight="1">
      <c r="A64" s="25" t="s">
        <v>61</v>
      </c>
      <c r="B64" s="26">
        <v>10206</v>
      </c>
      <c r="C64" s="26">
        <v>24008.400000000001</v>
      </c>
      <c r="D64" s="26">
        <v>11874</v>
      </c>
      <c r="E64" s="26">
        <v>10466.4</v>
      </c>
      <c r="F64" s="26">
        <v>6636</v>
      </c>
      <c r="G64" s="114">
        <f>8018.4+1940.4+717.6+727.2</f>
        <v>11403.6</v>
      </c>
      <c r="H64" s="26"/>
      <c r="I64" s="26"/>
      <c r="J64" s="77"/>
      <c r="K64" s="57"/>
      <c r="L64" s="100"/>
      <c r="M64" s="112"/>
      <c r="N64" s="34">
        <f t="shared" ref="N64:N67" si="16">SUM(B64:M64)</f>
        <v>74594.400000000009</v>
      </c>
      <c r="O64" s="74"/>
      <c r="P64" s="55"/>
      <c r="Q64" s="70"/>
    </row>
    <row r="65" spans="1:25" ht="24.75" customHeight="1">
      <c r="A65" s="25" t="s">
        <v>62</v>
      </c>
      <c r="B65" s="26">
        <v>0</v>
      </c>
      <c r="C65" s="26">
        <v>390</v>
      </c>
      <c r="D65" s="26">
        <v>0</v>
      </c>
      <c r="E65" s="26">
        <v>0</v>
      </c>
      <c r="F65" s="26">
        <v>0</v>
      </c>
      <c r="G65" s="114">
        <v>0</v>
      </c>
      <c r="H65" s="26"/>
      <c r="I65" s="26"/>
      <c r="J65" s="77"/>
      <c r="K65" s="57"/>
      <c r="L65" s="100"/>
      <c r="M65" s="112"/>
      <c r="N65" s="34">
        <f t="shared" si="16"/>
        <v>390</v>
      </c>
      <c r="O65" s="74"/>
      <c r="P65" s="55"/>
      <c r="Q65" s="70"/>
    </row>
    <row r="66" spans="1:25" ht="24.75" customHeight="1">
      <c r="A66" s="25" t="s">
        <v>28</v>
      </c>
      <c r="B66" s="26">
        <f>3758+1482</f>
        <v>5240</v>
      </c>
      <c r="C66" s="26">
        <f>4256+2380</f>
        <v>6636</v>
      </c>
      <c r="D66" s="26">
        <f>7276+1120</f>
        <v>8396</v>
      </c>
      <c r="E66" s="26">
        <f>4160+7022</f>
        <v>11182</v>
      </c>
      <c r="F66" s="26">
        <v>3545</v>
      </c>
      <c r="G66" s="114">
        <f>5114+3078</f>
        <v>8192</v>
      </c>
      <c r="H66" s="26"/>
      <c r="I66" s="26"/>
      <c r="J66" s="77"/>
      <c r="K66" s="57"/>
      <c r="L66" s="87"/>
      <c r="M66" s="112"/>
      <c r="N66" s="34">
        <f t="shared" si="16"/>
        <v>43191</v>
      </c>
      <c r="O66" s="74"/>
      <c r="P66" s="55">
        <f t="shared" si="10"/>
        <v>43191</v>
      </c>
      <c r="Q66" s="70" t="e">
        <f t="shared" si="11"/>
        <v>#DIV/0!</v>
      </c>
    </row>
    <row r="67" spans="1:25" ht="24.75" customHeight="1">
      <c r="A67" s="25" t="s">
        <v>59</v>
      </c>
      <c r="B67" s="26">
        <v>17371</v>
      </c>
      <c r="C67" s="26">
        <v>3729</v>
      </c>
      <c r="D67" s="26">
        <v>8568</v>
      </c>
      <c r="E67" s="26">
        <v>7524</v>
      </c>
      <c r="F67" s="26">
        <v>30367.200000000001</v>
      </c>
      <c r="G67" s="189">
        <v>36304</v>
      </c>
      <c r="H67" s="12"/>
      <c r="I67" s="26"/>
      <c r="J67" s="77"/>
      <c r="K67" s="57"/>
      <c r="L67" s="87"/>
      <c r="M67" s="112"/>
      <c r="N67" s="34">
        <f t="shared" si="16"/>
        <v>103863.2</v>
      </c>
      <c r="O67" s="74"/>
      <c r="P67" s="75">
        <f t="shared" si="10"/>
        <v>103863.2</v>
      </c>
      <c r="Q67" s="70" t="e">
        <f t="shared" si="11"/>
        <v>#DIV/0!</v>
      </c>
    </row>
    <row r="68" spans="1:25" ht="24.75" customHeight="1">
      <c r="A68" s="17" t="s">
        <v>47</v>
      </c>
      <c r="B68" s="26">
        <v>16731</v>
      </c>
      <c r="C68" s="26">
        <v>14356.3</v>
      </c>
      <c r="D68" s="26">
        <v>18706</v>
      </c>
      <c r="E68" s="26">
        <v>17782.5</v>
      </c>
      <c r="F68" s="26">
        <v>11215.5</v>
      </c>
      <c r="G68" s="189">
        <v>61430</v>
      </c>
      <c r="H68" s="77"/>
      <c r="I68" s="26"/>
      <c r="J68" s="77"/>
      <c r="K68" s="57"/>
      <c r="L68" s="87"/>
      <c r="M68" s="112"/>
      <c r="N68" s="34">
        <f t="shared" si="9"/>
        <v>140221.29999999999</v>
      </c>
      <c r="O68" s="74"/>
      <c r="P68" s="75">
        <f>N68-O68</f>
        <v>140221.29999999999</v>
      </c>
      <c r="Q68" s="70" t="e">
        <f>N68/O68</f>
        <v>#DIV/0!</v>
      </c>
    </row>
    <row r="69" spans="1:25" ht="24.75" customHeight="1" thickBot="1">
      <c r="A69" s="18" t="s">
        <v>30</v>
      </c>
      <c r="B69" s="58">
        <v>11150</v>
      </c>
      <c r="C69" s="27">
        <v>120</v>
      </c>
      <c r="D69" s="27">
        <v>35</v>
      </c>
      <c r="E69" s="27">
        <v>120</v>
      </c>
      <c r="F69" s="183">
        <v>0</v>
      </c>
      <c r="G69" s="190">
        <f>120+430</f>
        <v>550</v>
      </c>
      <c r="H69" s="27"/>
      <c r="I69" s="58"/>
      <c r="J69" s="27"/>
      <c r="K69" s="28"/>
      <c r="L69" s="101"/>
      <c r="M69" s="113"/>
      <c r="N69" s="40">
        <f t="shared" si="9"/>
        <v>11975</v>
      </c>
      <c r="O69" s="82"/>
      <c r="P69" s="59">
        <f>N69-O69</f>
        <v>11975</v>
      </c>
      <c r="Q69" s="71" t="e">
        <f t="shared" ref="Q69" si="17">N69/O69</f>
        <v>#DIV/0!</v>
      </c>
    </row>
    <row r="70" spans="1:25" ht="24.75" customHeight="1">
      <c r="A70" s="1" t="s">
        <v>37</v>
      </c>
      <c r="B70" s="80">
        <v>800</v>
      </c>
      <c r="C70" s="80">
        <v>754.58</v>
      </c>
      <c r="D70" s="80">
        <v>2350.9700000000003</v>
      </c>
      <c r="E70" s="115">
        <v>4560.5</v>
      </c>
      <c r="F70" s="80">
        <v>7137.07</v>
      </c>
      <c r="G70" s="80">
        <f>1085.81-45.96</f>
        <v>1039.8499999999999</v>
      </c>
      <c r="H70" s="80"/>
      <c r="I70" s="115"/>
      <c r="J70" s="80"/>
      <c r="K70" s="83"/>
      <c r="L70" s="87"/>
      <c r="M70" s="80"/>
      <c r="N70" s="1">
        <f t="shared" si="9"/>
        <v>16642.969999999998</v>
      </c>
      <c r="O70" s="2"/>
      <c r="P70" s="116"/>
      <c r="Q70" s="117"/>
    </row>
    <row r="71" spans="1:25" ht="24.75" customHeight="1" thickBot="1">
      <c r="A71" s="29"/>
      <c r="B71" s="30">
        <f t="shared" ref="B71:E71" si="18">SUM(B39:B70)</f>
        <v>411381.22000000003</v>
      </c>
      <c r="C71" s="30">
        <f t="shared" si="18"/>
        <v>304589.38999999996</v>
      </c>
      <c r="D71" s="30">
        <f t="shared" si="18"/>
        <v>323818.70999999996</v>
      </c>
      <c r="E71" s="30">
        <f t="shared" si="18"/>
        <v>323948.14999999997</v>
      </c>
      <c r="F71" s="30">
        <f>SUM(F39:F70)</f>
        <v>336012.26</v>
      </c>
      <c r="G71" s="30">
        <f t="shared" ref="G71:M71" si="19">SUM(G39:G70)</f>
        <v>370821.74999999994</v>
      </c>
      <c r="H71" s="30">
        <f t="shared" si="19"/>
        <v>0</v>
      </c>
      <c r="I71" s="30">
        <f t="shared" si="19"/>
        <v>0</v>
      </c>
      <c r="J71" s="30">
        <f t="shared" si="19"/>
        <v>0</v>
      </c>
      <c r="K71" s="30">
        <f t="shared" si="19"/>
        <v>0</v>
      </c>
      <c r="L71" s="30">
        <f t="shared" si="19"/>
        <v>0</v>
      </c>
      <c r="M71" s="30">
        <f t="shared" si="19"/>
        <v>0</v>
      </c>
      <c r="N71" s="60">
        <f>SUM(N39:N70)</f>
        <v>2070571.4799999997</v>
      </c>
      <c r="O71" s="30">
        <f>O69</f>
        <v>0</v>
      </c>
      <c r="P71" s="60">
        <f>SUM(P39:P70)</f>
        <v>1649502.52</v>
      </c>
      <c r="Q71" s="72"/>
      <c r="S71" s="95"/>
    </row>
    <row r="72" spans="1:25" ht="24.75" customHeight="1" thickTop="1" thickBot="1">
      <c r="A72" s="4"/>
      <c r="B72" s="42"/>
      <c r="D72" s="42"/>
      <c r="G72" s="76"/>
      <c r="L72" s="97"/>
      <c r="O72" s="83"/>
      <c r="P72" s="1"/>
      <c r="Q72" s="1"/>
      <c r="R72" s="1"/>
      <c r="Y72" s="4"/>
    </row>
    <row r="73" spans="1:25" ht="24.75" customHeight="1" thickBot="1">
      <c r="A73" s="31" t="s">
        <v>38</v>
      </c>
      <c r="B73" s="32" t="s">
        <v>2</v>
      </c>
      <c r="C73" s="33" t="s">
        <v>3</v>
      </c>
      <c r="D73" s="33" t="s">
        <v>4</v>
      </c>
      <c r="E73" s="33" t="s">
        <v>5</v>
      </c>
      <c r="F73" s="33" t="s">
        <v>6</v>
      </c>
      <c r="G73" s="33" t="s">
        <v>7</v>
      </c>
      <c r="H73" s="33" t="s">
        <v>34</v>
      </c>
      <c r="I73" s="33" t="s">
        <v>9</v>
      </c>
      <c r="J73" s="33" t="s">
        <v>10</v>
      </c>
      <c r="K73" s="33" t="s">
        <v>39</v>
      </c>
      <c r="L73" s="33" t="s">
        <v>12</v>
      </c>
      <c r="M73" s="61" t="s">
        <v>13</v>
      </c>
      <c r="N73" s="62" t="s">
        <v>14</v>
      </c>
      <c r="R73" s="1"/>
      <c r="Y73" s="4"/>
    </row>
    <row r="74" spans="1:25" ht="24.75" customHeight="1">
      <c r="A74" s="34" t="s">
        <v>40</v>
      </c>
      <c r="B74" s="131">
        <v>347457</v>
      </c>
      <c r="C74" s="132">
        <v>292601</v>
      </c>
      <c r="D74" s="132">
        <v>332731</v>
      </c>
      <c r="E74" s="132">
        <v>348211</v>
      </c>
      <c r="F74" s="132">
        <v>312090</v>
      </c>
      <c r="G74" s="132">
        <v>463303</v>
      </c>
      <c r="H74" s="132">
        <v>339410</v>
      </c>
      <c r="I74" s="133">
        <v>304583</v>
      </c>
      <c r="J74" s="133">
        <v>369530</v>
      </c>
      <c r="K74" s="134">
        <v>439368</v>
      </c>
      <c r="L74" s="133">
        <v>465124</v>
      </c>
      <c r="M74" s="135">
        <v>482659</v>
      </c>
      <c r="N74" s="130">
        <f>SUM(B74:M74)</f>
        <v>4497067</v>
      </c>
      <c r="R74" s="1"/>
      <c r="Y74" s="4"/>
    </row>
    <row r="75" spans="1:25" ht="24.75" customHeight="1" thickBot="1">
      <c r="A75" s="37" t="s">
        <v>41</v>
      </c>
      <c r="B75" s="38">
        <f>B71</f>
        <v>411381.22000000003</v>
      </c>
      <c r="C75" s="39">
        <f t="shared" ref="C75:N75" si="20">C71</f>
        <v>304589.38999999996</v>
      </c>
      <c r="D75" s="39">
        <f t="shared" si="20"/>
        <v>323818.70999999996</v>
      </c>
      <c r="E75" s="39">
        <f t="shared" si="20"/>
        <v>323948.14999999997</v>
      </c>
      <c r="F75" s="39">
        <f>F71</f>
        <v>336012.26</v>
      </c>
      <c r="G75" s="39">
        <f t="shared" si="20"/>
        <v>370821.74999999994</v>
      </c>
      <c r="H75" s="39">
        <f t="shared" si="20"/>
        <v>0</v>
      </c>
      <c r="I75" s="39">
        <f t="shared" si="20"/>
        <v>0</v>
      </c>
      <c r="J75" s="39">
        <f t="shared" si="20"/>
        <v>0</v>
      </c>
      <c r="K75" s="39">
        <f t="shared" si="20"/>
        <v>0</v>
      </c>
      <c r="L75" s="39">
        <f t="shared" si="20"/>
        <v>0</v>
      </c>
      <c r="M75" s="39">
        <f t="shared" si="20"/>
        <v>0</v>
      </c>
      <c r="N75" s="63">
        <f t="shared" si="20"/>
        <v>2070571.4799999997</v>
      </c>
      <c r="O75" s="85"/>
      <c r="R75" s="94"/>
      <c r="Y75" s="4"/>
    </row>
    <row r="76" spans="1:25" ht="24.75" customHeight="1" thickTop="1">
      <c r="A76" s="34" t="s">
        <v>42</v>
      </c>
      <c r="B76" s="35">
        <f>B75-B74</f>
        <v>63924.22000000003</v>
      </c>
      <c r="C76" s="35">
        <f t="shared" ref="C76:M76" si="21">C75-C74</f>
        <v>11988.389999999956</v>
      </c>
      <c r="D76" s="35">
        <f t="shared" si="21"/>
        <v>-8912.2900000000373</v>
      </c>
      <c r="E76" s="35">
        <f t="shared" si="21"/>
        <v>-24262.850000000035</v>
      </c>
      <c r="F76" s="35">
        <f t="shared" si="21"/>
        <v>23922.260000000009</v>
      </c>
      <c r="G76" s="35">
        <f t="shared" si="21"/>
        <v>-92481.250000000058</v>
      </c>
      <c r="H76" s="35">
        <f t="shared" si="21"/>
        <v>-339410</v>
      </c>
      <c r="I76" s="35">
        <f t="shared" si="21"/>
        <v>-304583</v>
      </c>
      <c r="J76" s="35">
        <f t="shared" si="21"/>
        <v>-369530</v>
      </c>
      <c r="K76" s="35">
        <f t="shared" si="21"/>
        <v>-439368</v>
      </c>
      <c r="L76" s="35">
        <f t="shared" si="21"/>
        <v>-465124</v>
      </c>
      <c r="M76" s="35">
        <f t="shared" si="21"/>
        <v>-482659</v>
      </c>
      <c r="N76" s="64">
        <f>SUM(B76:M76)</f>
        <v>-2426495.52</v>
      </c>
      <c r="R76" s="1"/>
      <c r="Y76" s="4"/>
    </row>
    <row r="77" spans="1:25" ht="24.75" customHeight="1" thickBot="1">
      <c r="A77" s="40" t="s">
        <v>43</v>
      </c>
      <c r="B77" s="90">
        <f>B75/B74</f>
        <v>1.1839773554713247</v>
      </c>
      <c r="C77" s="84">
        <f t="shared" ref="C77:N77" si="22">C75/C74</f>
        <v>1.0409718011900162</v>
      </c>
      <c r="D77" s="84">
        <f t="shared" si="22"/>
        <v>0.97321472901533057</v>
      </c>
      <c r="E77" s="84">
        <f t="shared" si="22"/>
        <v>0.93032141431488369</v>
      </c>
      <c r="F77" s="84">
        <f t="shared" si="22"/>
        <v>1.0766517991604987</v>
      </c>
      <c r="G77" s="84">
        <f t="shared" si="22"/>
        <v>0.80038711167421739</v>
      </c>
      <c r="H77" s="84">
        <f t="shared" si="22"/>
        <v>0</v>
      </c>
      <c r="I77" s="84">
        <f t="shared" si="22"/>
        <v>0</v>
      </c>
      <c r="J77" s="84">
        <f t="shared" si="22"/>
        <v>0</v>
      </c>
      <c r="K77" s="84">
        <f t="shared" si="22"/>
        <v>0</v>
      </c>
      <c r="L77" s="84">
        <f t="shared" si="22"/>
        <v>0</v>
      </c>
      <c r="M77" s="84">
        <f t="shared" si="22"/>
        <v>0</v>
      </c>
      <c r="N77" s="84">
        <f t="shared" si="22"/>
        <v>0.46042709170221385</v>
      </c>
      <c r="R77" s="1"/>
      <c r="Y77" s="4"/>
    </row>
    <row r="78" spans="1:25" ht="24.75" customHeight="1">
      <c r="B78" s="129"/>
      <c r="C78" s="41"/>
      <c r="E78" s="128"/>
      <c r="R78" s="1"/>
      <c r="Y78" s="4"/>
    </row>
    <row r="79" spans="1:25" ht="24.75" customHeight="1">
      <c r="B79" s="129"/>
      <c r="C79" s="41"/>
      <c r="E79" s="128"/>
      <c r="R79" s="1"/>
      <c r="Y79" s="4"/>
    </row>
    <row r="80" spans="1:25" ht="24.75" customHeight="1">
      <c r="B80" s="129"/>
      <c r="C80" s="41"/>
      <c r="E80" s="128"/>
      <c r="R80" s="1"/>
      <c r="Y80" s="4"/>
    </row>
    <row r="81" spans="1:25" ht="24.75" hidden="1" customHeight="1" thickBot="1">
      <c r="A81" s="156" t="s">
        <v>38</v>
      </c>
      <c r="B81" s="157" t="s">
        <v>2</v>
      </c>
      <c r="C81" s="33" t="s">
        <v>3</v>
      </c>
      <c r="D81" s="33" t="s">
        <v>4</v>
      </c>
      <c r="E81" s="33" t="s">
        <v>5</v>
      </c>
      <c r="F81" s="33" t="s">
        <v>6</v>
      </c>
      <c r="G81" s="33" t="s">
        <v>7</v>
      </c>
      <c r="H81" s="33" t="s">
        <v>34</v>
      </c>
      <c r="I81" s="33" t="s">
        <v>9</v>
      </c>
      <c r="J81" s="33" t="s">
        <v>10</v>
      </c>
      <c r="K81" s="33" t="s">
        <v>39</v>
      </c>
      <c r="L81" s="33" t="s">
        <v>12</v>
      </c>
      <c r="M81" s="158" t="s">
        <v>13</v>
      </c>
      <c r="N81" s="159" t="s">
        <v>14</v>
      </c>
      <c r="R81" s="1"/>
      <c r="Y81" s="4"/>
    </row>
    <row r="82" spans="1:25" ht="24.75" hidden="1" customHeight="1">
      <c r="A82" s="176" t="s">
        <v>63</v>
      </c>
      <c r="B82" s="161">
        <v>322860</v>
      </c>
      <c r="C82" s="142">
        <v>268004</v>
      </c>
      <c r="D82" s="137">
        <v>308134</v>
      </c>
      <c r="E82" s="137">
        <v>321214</v>
      </c>
      <c r="F82" s="137">
        <v>285093</v>
      </c>
      <c r="G82" s="137">
        <v>436306</v>
      </c>
      <c r="H82" s="137">
        <v>314813</v>
      </c>
      <c r="I82" s="137">
        <v>279986</v>
      </c>
      <c r="J82" s="137">
        <v>340133</v>
      </c>
      <c r="K82" s="137">
        <v>409971</v>
      </c>
      <c r="L82" s="148">
        <v>430927</v>
      </c>
      <c r="M82" s="149">
        <v>448462</v>
      </c>
      <c r="N82" s="153">
        <f>SUM(B82:M82)</f>
        <v>4165903</v>
      </c>
      <c r="R82" s="1"/>
      <c r="Y82" s="4"/>
    </row>
    <row r="83" spans="1:25" ht="24.75" hidden="1" customHeight="1">
      <c r="A83" s="136" t="s">
        <v>64</v>
      </c>
      <c r="B83" s="160">
        <v>347457</v>
      </c>
      <c r="C83" s="143">
        <v>292601</v>
      </c>
      <c r="D83" s="138">
        <v>332731</v>
      </c>
      <c r="E83" s="138">
        <v>348211</v>
      </c>
      <c r="F83" s="138">
        <v>312090</v>
      </c>
      <c r="G83" s="138">
        <v>463303</v>
      </c>
      <c r="H83" s="138">
        <v>339410</v>
      </c>
      <c r="I83" s="138">
        <v>304583</v>
      </c>
      <c r="J83" s="138">
        <v>369530</v>
      </c>
      <c r="K83" s="138">
        <v>439368</v>
      </c>
      <c r="L83" s="138">
        <v>465124</v>
      </c>
      <c r="M83" s="150">
        <v>482659</v>
      </c>
      <c r="N83" s="155">
        <f>SUM(B83:M83)</f>
        <v>4497067</v>
      </c>
      <c r="R83" s="1"/>
      <c r="Y83" s="4"/>
    </row>
    <row r="84" spans="1:25" ht="24.75" hidden="1" customHeight="1">
      <c r="A84" s="177" t="s">
        <v>65</v>
      </c>
      <c r="B84" s="166">
        <f>B83-B82</f>
        <v>24597</v>
      </c>
      <c r="C84" s="167">
        <f t="shared" ref="C84:M84" si="23">C83-C82</f>
        <v>24597</v>
      </c>
      <c r="D84" s="168">
        <f t="shared" si="23"/>
        <v>24597</v>
      </c>
      <c r="E84" s="168">
        <f t="shared" si="23"/>
        <v>26997</v>
      </c>
      <c r="F84" s="168">
        <f t="shared" si="23"/>
        <v>26997</v>
      </c>
      <c r="G84" s="168">
        <f t="shared" si="23"/>
        <v>26997</v>
      </c>
      <c r="H84" s="168">
        <f t="shared" si="23"/>
        <v>24597</v>
      </c>
      <c r="I84" s="168">
        <f t="shared" si="23"/>
        <v>24597</v>
      </c>
      <c r="J84" s="168">
        <f t="shared" si="23"/>
        <v>29397</v>
      </c>
      <c r="K84" s="168">
        <f t="shared" si="23"/>
        <v>29397</v>
      </c>
      <c r="L84" s="168">
        <f t="shared" si="23"/>
        <v>34197</v>
      </c>
      <c r="M84" s="169">
        <f t="shared" si="23"/>
        <v>34197</v>
      </c>
      <c r="N84" s="170">
        <f>SUM(B84:M84)</f>
        <v>331164</v>
      </c>
      <c r="R84" s="1"/>
      <c r="Y84" s="4"/>
    </row>
    <row r="85" spans="1:25" ht="24.75" hidden="1" customHeight="1">
      <c r="A85" s="178" t="s">
        <v>66</v>
      </c>
      <c r="B85" s="171">
        <f>B84/B82</f>
        <v>7.6184724028990888E-2</v>
      </c>
      <c r="C85" s="172">
        <f t="shared" ref="C85:N85" si="24">C84/C82</f>
        <v>9.1778480918195252E-2</v>
      </c>
      <c r="D85" s="173">
        <f t="shared" si="24"/>
        <v>7.982566026469004E-2</v>
      </c>
      <c r="E85" s="173">
        <f t="shared" si="24"/>
        <v>8.4046772556613344E-2</v>
      </c>
      <c r="F85" s="173">
        <f t="shared" si="24"/>
        <v>9.4695415180309578E-2</v>
      </c>
      <c r="G85" s="173">
        <f t="shared" si="24"/>
        <v>6.1876297827671407E-2</v>
      </c>
      <c r="H85" s="173">
        <f t="shared" si="24"/>
        <v>7.8132097467385406E-2</v>
      </c>
      <c r="I85" s="173">
        <f t="shared" si="24"/>
        <v>8.7850821112484198E-2</v>
      </c>
      <c r="J85" s="173">
        <f t="shared" si="24"/>
        <v>8.642795612304599E-2</v>
      </c>
      <c r="K85" s="173">
        <f t="shared" si="24"/>
        <v>7.1705071822153271E-2</v>
      </c>
      <c r="L85" s="173">
        <f t="shared" si="24"/>
        <v>7.9356828418734496E-2</v>
      </c>
      <c r="M85" s="174">
        <f t="shared" si="24"/>
        <v>7.6253952397304564E-2</v>
      </c>
      <c r="N85" s="175">
        <f t="shared" si="24"/>
        <v>7.9493929647425784E-2</v>
      </c>
      <c r="R85" s="1"/>
      <c r="Y85" s="4"/>
    </row>
    <row r="86" spans="1:25" ht="24.75" hidden="1" customHeight="1" thickBot="1">
      <c r="A86" s="162" t="s">
        <v>41</v>
      </c>
      <c r="B86" s="162">
        <f>B71</f>
        <v>411381.22000000003</v>
      </c>
      <c r="C86" s="163">
        <f>C71</f>
        <v>304589.38999999996</v>
      </c>
      <c r="D86" s="163">
        <f t="shared" ref="D86:L86" si="25">D71</f>
        <v>323818.70999999996</v>
      </c>
      <c r="E86" s="163">
        <f t="shared" si="25"/>
        <v>323948.14999999997</v>
      </c>
      <c r="F86" s="163">
        <f t="shared" si="25"/>
        <v>336012.26</v>
      </c>
      <c r="G86" s="163">
        <f t="shared" si="25"/>
        <v>370821.74999999994</v>
      </c>
      <c r="H86" s="163">
        <f t="shared" si="25"/>
        <v>0</v>
      </c>
      <c r="I86" s="163">
        <f t="shared" si="25"/>
        <v>0</v>
      </c>
      <c r="J86" s="163">
        <f t="shared" si="25"/>
        <v>0</v>
      </c>
      <c r="K86" s="163">
        <f t="shared" si="25"/>
        <v>0</v>
      </c>
      <c r="L86" s="163">
        <f t="shared" si="25"/>
        <v>0</v>
      </c>
      <c r="M86" s="164">
        <f>M71</f>
        <v>0</v>
      </c>
      <c r="N86" s="165">
        <f>N71</f>
        <v>2070571.4799999997</v>
      </c>
      <c r="R86" s="1"/>
      <c r="Y86" s="4"/>
    </row>
    <row r="87" spans="1:25" ht="24.75" hidden="1" customHeight="1" thickTop="1">
      <c r="A87" s="179" t="s">
        <v>67</v>
      </c>
      <c r="B87" s="145">
        <f>B86/B82</f>
        <v>1.274178343554482</v>
      </c>
      <c r="C87" s="146">
        <f t="shared" ref="C87:N87" si="26">C86/C82</f>
        <v>1.1365106117819135</v>
      </c>
      <c r="D87" s="147">
        <f t="shared" si="26"/>
        <v>1.0509022373383008</v>
      </c>
      <c r="E87" s="147">
        <f t="shared" si="26"/>
        <v>1.0085119266283535</v>
      </c>
      <c r="F87" s="147">
        <f t="shared" si="26"/>
        <v>1.1786057882866292</v>
      </c>
      <c r="G87" s="147">
        <f t="shared" si="26"/>
        <v>0.84991210297360098</v>
      </c>
      <c r="H87" s="147">
        <f t="shared" si="26"/>
        <v>0</v>
      </c>
      <c r="I87" s="147">
        <f t="shared" si="26"/>
        <v>0</v>
      </c>
      <c r="J87" s="147">
        <f t="shared" si="26"/>
        <v>0</v>
      </c>
      <c r="K87" s="147">
        <f t="shared" si="26"/>
        <v>0</v>
      </c>
      <c r="L87" s="147">
        <f t="shared" si="26"/>
        <v>0</v>
      </c>
      <c r="M87" s="151">
        <f t="shared" si="26"/>
        <v>0</v>
      </c>
      <c r="N87" s="154">
        <f t="shared" si="26"/>
        <v>0.49702825053775851</v>
      </c>
      <c r="R87" s="1"/>
      <c r="Y87" s="4"/>
    </row>
    <row r="88" spans="1:25" ht="24.75" hidden="1" customHeight="1" thickBot="1">
      <c r="A88" s="180" t="s">
        <v>68</v>
      </c>
      <c r="B88" s="141">
        <f>B86/B83</f>
        <v>1.1839773554713247</v>
      </c>
      <c r="C88" s="144">
        <f t="shared" ref="C88:N88" si="27">C86/C83</f>
        <v>1.0409718011900162</v>
      </c>
      <c r="D88" s="139">
        <f t="shared" si="27"/>
        <v>0.97321472901533057</v>
      </c>
      <c r="E88" s="139">
        <f t="shared" si="27"/>
        <v>0.93032141431488369</v>
      </c>
      <c r="F88" s="139">
        <f t="shared" si="27"/>
        <v>1.0766517991604987</v>
      </c>
      <c r="G88" s="139">
        <f t="shared" si="27"/>
        <v>0.80038711167421739</v>
      </c>
      <c r="H88" s="139">
        <f t="shared" si="27"/>
        <v>0</v>
      </c>
      <c r="I88" s="139">
        <f t="shared" si="27"/>
        <v>0</v>
      </c>
      <c r="J88" s="139">
        <f t="shared" si="27"/>
        <v>0</v>
      </c>
      <c r="K88" s="139">
        <f t="shared" si="27"/>
        <v>0</v>
      </c>
      <c r="L88" s="139">
        <f t="shared" si="27"/>
        <v>0</v>
      </c>
      <c r="M88" s="152">
        <f t="shared" si="27"/>
        <v>0</v>
      </c>
      <c r="N88" s="140">
        <f t="shared" si="27"/>
        <v>0.46042709170221385</v>
      </c>
    </row>
    <row r="89" spans="1:25" ht="24.75" hidden="1" customHeight="1">
      <c r="B89" s="85">
        <f>+B87-B88</f>
        <v>9.0200988083157352E-2</v>
      </c>
      <c r="C89" s="85">
        <f t="shared" ref="C89:N89" si="28">+C87-C88</f>
        <v>9.5538810591897283E-2</v>
      </c>
      <c r="D89" s="85">
        <f t="shared" si="28"/>
        <v>7.7687508322970222E-2</v>
      </c>
      <c r="E89" s="85">
        <f t="shared" si="28"/>
        <v>7.8190512313469851E-2</v>
      </c>
      <c r="F89" s="85">
        <f t="shared" si="28"/>
        <v>0.10195398912613052</v>
      </c>
      <c r="G89" s="85">
        <f t="shared" si="28"/>
        <v>4.9524991299383592E-2</v>
      </c>
      <c r="H89" s="85">
        <f t="shared" si="28"/>
        <v>0</v>
      </c>
      <c r="I89" s="85">
        <f t="shared" si="28"/>
        <v>0</v>
      </c>
      <c r="J89" s="85">
        <f t="shared" si="28"/>
        <v>0</v>
      </c>
      <c r="K89" s="85">
        <f t="shared" si="28"/>
        <v>0</v>
      </c>
      <c r="L89" s="85">
        <f t="shared" si="28"/>
        <v>0</v>
      </c>
      <c r="M89" s="85">
        <f t="shared" si="28"/>
        <v>0</v>
      </c>
      <c r="N89" s="85">
        <f t="shared" si="28"/>
        <v>3.6601158835544656E-2</v>
      </c>
    </row>
  </sheetData>
  <mergeCells count="6">
    <mergeCell ref="A1:Q1"/>
    <mergeCell ref="B3:M3"/>
    <mergeCell ref="B37:G37"/>
    <mergeCell ref="O54:O56"/>
    <mergeCell ref="P54:P56"/>
    <mergeCell ref="Q54:Q56"/>
  </mergeCells>
  <conditionalFormatting sqref="Q5:Q8 Q11:Q37">
    <cfRule type="cellIs" dxfId="8" priority="7" stopIfTrue="1" operator="lessThan">
      <formula>#REF!</formula>
    </cfRule>
    <cfRule type="cellIs" dxfId="7" priority="8" stopIfTrue="1" operator="greaterThan">
      <formula>#REF!</formula>
    </cfRule>
    <cfRule type="cellIs" dxfId="6" priority="9" stopIfTrue="1" operator="greaterThan">
      <formula>#REF!</formula>
    </cfRule>
    <cfRule type="cellIs" dxfId="5" priority="10" stopIfTrue="1" operator="lessThan">
      <formula>#REF!</formula>
    </cfRule>
  </conditionalFormatting>
  <conditionalFormatting sqref="Q5:Q37">
    <cfRule type="cellIs" dxfId="4" priority="4" stopIfTrue="1" operator="greaterThan">
      <formula>#REF!</formula>
    </cfRule>
  </conditionalFormatting>
  <conditionalFormatting sqref="Q9:Q10">
    <cfRule type="cellIs" dxfId="3" priority="1" stopIfTrue="1" operator="greaterThan">
      <formula>#REF!</formula>
    </cfRule>
    <cfRule type="cellIs" dxfId="2" priority="2" stopIfTrue="1" operator="lessThan">
      <formula>#REF!</formula>
    </cfRule>
    <cfRule type="cellIs" dxfId="1" priority="3" stopIfTrue="1" operator="greaterThan">
      <formula>#REF!</formula>
    </cfRule>
    <cfRule type="cellIs" dxfId="0" priority="5" stopIfTrue="1" operator="lessThan">
      <formula>#REF!</formula>
    </cfRule>
  </conditionalFormatting>
  <pageMargins left="1.0900000000000001" right="0.7" top="0.33" bottom="0.24" header="0.15" footer="0.3"/>
  <pageSetup paperSize="9" scale="50" orientation="landscape" horizontalDpi="300" verticalDpi="300" r:id="rId1"/>
  <ignoredErrors>
    <ignoredError sqref="N75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9F68-28A9-445C-9C0B-4511312D0C11}">
  <dimension ref="A1"/>
  <sheetViews>
    <sheetView workbookViewId="0">
      <selection activeCell="T26" sqref="T26"/>
    </sheetView>
  </sheetViews>
  <sheetFormatPr defaultRowHeight="13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84BC5-AB24-4E67-97A6-EB06B292527E}">
  <dimension ref="A1"/>
  <sheetViews>
    <sheetView workbookViewId="0">
      <selection activeCell="J13" sqref="J13:N13"/>
    </sheetView>
  </sheetViews>
  <sheetFormatPr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monthly sales</vt:lpstr>
      <vt:lpstr>Sheet2</vt:lpstr>
      <vt:lpstr>Sheet1</vt:lpstr>
      <vt:lpstr>'monthly sales'!Print_Area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2020-09-04T01:02:00Z</cp:lastPrinted>
  <dcterms:created xsi:type="dcterms:W3CDTF">2018-01-30T13:53:00Z</dcterms:created>
  <dcterms:modified xsi:type="dcterms:W3CDTF">2026-07-02T04:16:00Z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7D37340335814E24BDD908A9B0E8AE4D</vt:lpwstr>
  </property>
  <property fmtid="{D5CDD505-2E9C-101B-9397-08002B2CF9AE}" pid="3" name="KSOProductBuildVer">
    <vt:lpwstr>1033-11.2.0.10463</vt:lpwstr>
  </property>
</Properties>
</file>